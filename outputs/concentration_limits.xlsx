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Summary" sheetId="3" state="visible" r:id="rId3"/>
    <sheet name="Limit Monitor" sheetId="4" state="visible" r:id="rId4"/>
  </sheets>
  <definedNames>
    <definedName name="_xlnm._FilterDatabase" localSheetId="3" hidden="1">'Limit Monitor'!$A$1:$K$73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%;(0.00%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164" fontId="5" fillId="3" borderId="1" pivotButton="0" quotePrefix="0" xfId="0"/>
    <xf numFmtId="2" fontId="5" fillId="3" borderId="1" pivotButton="0" quotePrefix="0" xfId="0"/>
    <xf numFmtId="9" fontId="5" fillId="3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164" fontId="7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3" fontId="5" fillId="0" borderId="1" pivotButton="0" quotePrefix="0" xfId="0"/>
    <xf numFmtId="10" fontId="5" fillId="0" borderId="1" pivotButton="0" quotePrefix="0" xfId="0"/>
    <xf numFmtId="2" fontId="2" fillId="0" borderId="1" pivotButton="0" quotePrefix="0" xfId="0"/>
    <xf numFmtId="165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6B6"/>
        </patternFill>
      </fill>
    </dxf>
    <dxf>
      <fill>
        <patternFill patternType="solid">
          <fgColor rgb="00FCE4A6"/>
        </patternFill>
      </fill>
    </dxf>
    <dxf>
      <fill>
        <patternFill patternType="solid">
          <fgColor rgb="00C6EFCE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Portfolio project</author>
  </authors>
  <commentList>
    <comment ref="B4" authorId="0" shapeId="0">
      <text>
        <t>Example setting chosen for this project, not SBA or bank policy. Change it and watch the Limit Monitor update.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Concentration Limits Workbook</t>
        </is>
      </c>
    </row>
    <row r="2">
      <c r="A2" s="2" t="inlineStr"/>
    </row>
    <row r="3">
      <c r="A3" s="3" t="inlineStr">
        <is>
          <t>What it is</t>
        </is>
      </c>
    </row>
    <row r="4">
      <c r="A4" s="2" t="inlineStr">
        <is>
          <t>A limit monitor for an SBA 7(a) small-business loan portfolio (loans approved 2001-2010). Each industry and state has a limit: the most of the portfolio it may hold. Riskier groups get a tighter limit.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>
        <is>
          <t>1. Go to the Settings sheet and change any YELLOW cell (for example the industry limit).</t>
        </is>
      </c>
    </row>
    <row r="8">
      <c r="A8" s="2" t="inlineStr">
        <is>
          <t>2. The Limit Monitor and Summary sheets update by themselves: every limit, headroom and status is a formula.</t>
        </is>
      </c>
    </row>
    <row r="9">
      <c r="A9" s="2" t="inlineStr">
        <is>
          <t>3. Use the filter arrows on the Limit Monitor header row to show only Breach or Watch rows.</t>
        </is>
      </c>
    </row>
    <row r="10">
      <c r="A10" s="2" t="inlineStr"/>
    </row>
    <row r="11">
      <c r="A11" s="3" t="inlineStr">
        <is>
          <t>Colour key</t>
        </is>
      </c>
    </row>
    <row r="12">
      <c r="A12" s="2" t="inlineStr">
        <is>
          <t>Yellow cell = a setting you can change.   Blue text = a number typed in.   Black text = a formula.   Green text = a formula reading another sheet.</t>
        </is>
      </c>
    </row>
    <row r="13">
      <c r="A13" s="2" t="inlineStr"/>
    </row>
    <row r="14">
      <c r="A14" s="3" t="inlineStr">
        <is>
          <t>Status rules</t>
        </is>
      </c>
    </row>
    <row r="15">
      <c r="A15" s="2" t="inlineStr">
        <is>
          <t>Breach = share of dollars is above the limit.   Watch = share has used the watch level (e.g. 80%) of the limit or more.   Within = comfortably inside the limit.</t>
        </is>
      </c>
    </row>
    <row r="16">
      <c r="A16" s="2" t="inlineStr">
        <is>
          <t>Risk index = share of dollars lost / share of dollars lent. Above 1 means the group loses more than its size suggests.</t>
        </is>
      </c>
    </row>
    <row r="17">
      <c r="A17" s="2" t="inlineStr"/>
    </row>
    <row r="18">
      <c r="A18" s="3" t="inlineStr">
        <is>
          <t>Important</t>
        </is>
      </c>
    </row>
    <row r="19">
      <c r="A19" s="2" t="inlineStr">
        <is>
          <t>The limit settings are EXAMPLE values chosen for this portfolio project. They are not SBA or bank policy.</t>
        </is>
      </c>
    </row>
    <row r="20">
      <c r="A20" s="2" t="inlineStr"/>
    </row>
    <row r="21">
      <c r="A21" s="3" t="inlineStr">
        <is>
          <t>Source</t>
        </is>
      </c>
    </row>
    <row r="22">
      <c r="A22" s="2" t="inlineStr">
        <is>
          <t>U.S. Small Business Administration 7(a) loan data (Kaggle: 'Should This Loan be Approved or Denied?'), cleaned and analysed in this project. Shares and risk indexes come from outputs/limit_monitor.csv, built by scripts/04_concentration_limits.py.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>
      <c r="A1" s="4" t="inlineStr">
        <is>
          <t>Limit settings (change the yellow cells)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>
      <c r="A4" s="6" t="inlineStr">
        <is>
          <t>Industry limit</t>
        </is>
      </c>
      <c r="B4" s="7" t="n">
        <v>0.15</v>
      </c>
      <c r="C4" s="6" t="inlineStr">
        <is>
          <t>Most of the portfolio's dollars one industry may hold</t>
        </is>
      </c>
    </row>
    <row r="5">
      <c r="A5" s="6" t="inlineStr">
        <is>
          <t>Industry limit, high-risk</t>
        </is>
      </c>
      <c r="B5" s="7" t="n">
        <v>0.1</v>
      </c>
      <c r="C5" s="6" t="inlineStr">
        <is>
          <t>Tighter limit for industries with a high risk index</t>
        </is>
      </c>
    </row>
    <row r="6">
      <c r="A6" s="6" t="inlineStr">
        <is>
          <t>State limit</t>
        </is>
      </c>
      <c r="B6" s="7" t="n">
        <v>0.1</v>
      </c>
      <c r="C6" s="6" t="inlineStr">
        <is>
          <t>Most of the portfolio's dollars one state may hold</t>
        </is>
      </c>
    </row>
    <row r="7">
      <c r="A7" s="6" t="inlineStr">
        <is>
          <t>State limit, high-risk</t>
        </is>
      </c>
      <c r="B7" s="7" t="n">
        <v>0.075</v>
      </c>
      <c r="C7" s="6" t="inlineStr">
        <is>
          <t>Tighter limit for states with a high risk index</t>
        </is>
      </c>
    </row>
    <row r="8">
      <c r="A8" s="6" t="inlineStr">
        <is>
          <t>High-risk if risk index is above</t>
        </is>
      </c>
      <c r="B8" s="8" t="n">
        <v>1.25</v>
      </c>
      <c r="C8" s="6" t="inlineStr">
        <is>
          <t>Risk index = share of losses / share of dollars</t>
        </is>
      </c>
    </row>
    <row r="9">
      <c r="A9" s="6" t="inlineStr">
        <is>
          <t>Watch level (share of limit used)</t>
        </is>
      </c>
      <c r="B9" s="9" t="n">
        <v>0.8</v>
      </c>
      <c r="C9" s="6" t="inlineStr">
        <is>
          <t>Status becomes Watch once this much of the limit is used</t>
        </is>
      </c>
    </row>
    <row r="11">
      <c r="A11" s="10" t="inlineStr">
        <is>
          <t>These are example settings for a portfolio project, not real policy.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Limit monitor summary</t>
        </is>
      </c>
    </row>
    <row r="3">
      <c r="A3" s="5" t="inlineStr">
        <is>
          <t>Dimension</t>
        </is>
      </c>
      <c r="B3" s="5" t="inlineStr">
        <is>
          <t>Breach</t>
        </is>
      </c>
      <c r="C3" s="5" t="inlineStr">
        <is>
          <t>Watch</t>
        </is>
      </c>
      <c r="D3" s="5" t="inlineStr">
        <is>
          <t>Within</t>
        </is>
      </c>
      <c r="E3" s="5" t="inlineStr">
        <is>
          <t>Total</t>
        </is>
      </c>
    </row>
    <row r="4">
      <c r="A4" s="6" t="inlineStr">
        <is>
          <t>Industry</t>
        </is>
      </c>
      <c r="B4" s="11">
        <f>COUNTIFS('Limit Monitor'!$A$2:$A$73,$A4,'Limit Monitor'!$K$2:$K$73,"Breach")</f>
        <v/>
      </c>
      <c r="C4" s="11">
        <f>COUNTIFS('Limit Monitor'!$A$2:$A$73,$A4,'Limit Monitor'!$K$2:$K$73,"Watch")</f>
        <v/>
      </c>
      <c r="D4" s="11">
        <f>COUNTIFS('Limit Monitor'!$A$2:$A$73,$A4,'Limit Monitor'!$K$2:$K$73,"Within")</f>
        <v/>
      </c>
      <c r="E4" s="6">
        <f>SUM(B4:D4)</f>
        <v/>
      </c>
    </row>
    <row r="5">
      <c r="A5" s="6" t="inlineStr">
        <is>
          <t>State</t>
        </is>
      </c>
      <c r="B5" s="11">
        <f>COUNTIFS('Limit Monitor'!$A$2:$A$73,$A5,'Limit Monitor'!$K$2:$K$73,"Breach")</f>
        <v/>
      </c>
      <c r="C5" s="11">
        <f>COUNTIFS('Limit Monitor'!$A$2:$A$73,$A5,'Limit Monitor'!$K$2:$K$73,"Watch")</f>
        <v/>
      </c>
      <c r="D5" s="11">
        <f>COUNTIFS('Limit Monitor'!$A$2:$A$73,$A5,'Limit Monitor'!$K$2:$K$73,"Within")</f>
        <v/>
      </c>
      <c r="E5" s="6">
        <f>SUM(B5:D5)</f>
        <v/>
      </c>
    </row>
    <row r="6">
      <c r="A6" s="12" t="inlineStr">
        <is>
          <t>Total</t>
        </is>
      </c>
      <c r="B6" s="12">
        <f>SUM(B4:B5)</f>
        <v/>
      </c>
      <c r="C6" s="12">
        <f>SUM(C4:C5)</f>
        <v/>
      </c>
      <c r="D6" s="12">
        <f>SUM(D4:D5)</f>
        <v/>
      </c>
      <c r="E6" s="12">
        <f>SUM(E4:E5)</f>
        <v/>
      </c>
    </row>
    <row r="8">
      <c r="A8" s="13" t="inlineStr">
        <is>
          <t>Largest exposures</t>
        </is>
      </c>
    </row>
    <row r="9">
      <c r="A9" s="5" t="inlineStr">
        <is>
          <t>Dimension</t>
        </is>
      </c>
      <c r="B9" s="5" t="inlineStr">
        <is>
          <t>Group</t>
        </is>
      </c>
      <c r="C9" s="5" t="inlineStr">
        <is>
          <t>Share of dollars</t>
        </is>
      </c>
    </row>
    <row r="10">
      <c r="A10" s="6" t="inlineStr">
        <is>
          <t>Industry</t>
        </is>
      </c>
      <c r="B10" s="11">
        <f>INDEX('Limit Monitor'!$B$2:$B$73,MATCH(1,INDEX(('Limit Monitor'!$A$2:$A$73=$A10)*('Limit Monitor'!$D$2:$D$73=C10),0),0))</f>
        <v/>
      </c>
      <c r="C10" s="14">
        <f>SUMPRODUCT(MAX(('Limit Monitor'!$A$2:$A$73=$A10)*'Limit Monitor'!$D$2:$D$73))</f>
        <v/>
      </c>
    </row>
    <row r="11">
      <c r="A11" s="6" t="inlineStr">
        <is>
          <t>State</t>
        </is>
      </c>
      <c r="B11" s="11">
        <f>INDEX('Limit Monitor'!$B$2:$B$73,MATCH(1,INDEX(('Limit Monitor'!$A$2:$A$73=$A11)*('Limit Monitor'!$D$2:$D$73=C11),0),0))</f>
        <v/>
      </c>
      <c r="C11" s="14">
        <f>SUMPRODUCT(MAX(('Limit Monitor'!$A$2:$A$73=$A11)*'Limit Monitor'!$D$2:$D$73))</f>
        <v/>
      </c>
    </row>
    <row r="13">
      <c r="A13" s="13" t="inlineStr">
        <is>
          <t>Check: shares add up to 100%</t>
        </is>
      </c>
    </row>
    <row r="14">
      <c r="A14" s="6" t="inlineStr">
        <is>
          <t>Industry</t>
        </is>
      </c>
      <c r="B14" s="14">
        <f>SUMIFS('Limit Monitor'!$D$2:$D$73,'Limit Monitor'!$A$2:$A$73,$A14)</f>
        <v/>
      </c>
      <c r="C14" s="6">
        <f>IF(ABS(B14-1)&lt;0.005,"OK","Check")</f>
        <v/>
      </c>
    </row>
    <row r="15">
      <c r="A15" s="6" t="inlineStr">
        <is>
          <t>State</t>
        </is>
      </c>
      <c r="B15" s="14">
        <f>SUMIFS('Limit Monitor'!$D$2:$D$73,'Limit Monitor'!$A$2:$A$73,$A15)</f>
        <v/>
      </c>
      <c r="C15" s="6">
        <f>IF(ABS(B15-1)&lt;0.005,"OK","Check")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0" customWidth="1" min="3" max="3"/>
    <col width="15" customWidth="1" min="4" max="4"/>
    <col width="15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Dimension</t>
        </is>
      </c>
      <c r="B1" s="15" t="inlineStr">
        <is>
          <t>Group</t>
        </is>
      </c>
      <c r="C1" s="15" t="inlineStr">
        <is>
          <t>Loans</t>
        </is>
      </c>
      <c r="D1" s="15" t="inlineStr">
        <is>
          <t>Share of dollars</t>
        </is>
      </c>
      <c r="E1" s="15" t="inlineStr">
        <is>
          <t>Share of losses</t>
        </is>
      </c>
      <c r="F1" s="15" t="inlineStr">
        <is>
          <t>Risk index</t>
        </is>
      </c>
      <c r="G1" s="15" t="inlineStr">
        <is>
          <t>High risk?</t>
        </is>
      </c>
      <c r="H1" s="15" t="inlineStr">
        <is>
          <t>Limit</t>
        </is>
      </c>
      <c r="I1" s="15" t="inlineStr">
        <is>
          <t>Headroom</t>
        </is>
      </c>
      <c r="J1" s="15" t="inlineStr">
        <is>
          <t>Limit used</t>
        </is>
      </c>
      <c r="K1" s="15" t="inlineStr">
        <is>
          <t>Status</t>
        </is>
      </c>
    </row>
    <row r="2">
      <c r="A2" s="6" t="inlineStr">
        <is>
          <t>Industry</t>
        </is>
      </c>
      <c r="B2" s="6" t="inlineStr">
        <is>
          <t>Retail Trade</t>
        </is>
      </c>
      <c r="C2" s="16" t="n">
        <v>90703</v>
      </c>
      <c r="D2" s="17" t="n">
        <v>0.1715</v>
      </c>
      <c r="E2" s="17" t="n">
        <v>0.2029</v>
      </c>
      <c r="F2" s="18">
        <f>IF(D2&gt;0,E2/D2,0)</f>
        <v/>
      </c>
      <c r="G2" s="11">
        <f>IF(F2&gt;Settings!$B$8,"Yes","No")</f>
        <v/>
      </c>
      <c r="H2" s="14">
        <f>IF(A2="Industry",IF(G2="Yes",Settings!$B$5,Settings!$B$4),IF(G2="Yes",Settings!$B$7,Settings!$B$6))</f>
        <v/>
      </c>
      <c r="I2" s="19">
        <f>H2-D2</f>
        <v/>
      </c>
      <c r="J2" s="20">
        <f>IF(H2&gt;0,D2/H2,0)</f>
        <v/>
      </c>
      <c r="K2" s="11">
        <f>IF(J2&gt;1,"Breach",IF(J2&gt;=Settings!$B$9,"Watch","Within"))</f>
        <v/>
      </c>
    </row>
    <row r="3">
      <c r="A3" s="6" t="inlineStr">
        <is>
          <t>Industry</t>
        </is>
      </c>
      <c r="B3" s="6" t="inlineStr">
        <is>
          <t>Accommodation &amp; Food Services</t>
        </is>
      </c>
      <c r="C3" s="16" t="n">
        <v>58700</v>
      </c>
      <c r="D3" s="17" t="n">
        <v>0.1702</v>
      </c>
      <c r="E3" s="17" t="n">
        <v>0.1683</v>
      </c>
      <c r="F3" s="18">
        <f>IF(D3&gt;0,E3/D3,0)</f>
        <v/>
      </c>
      <c r="G3" s="11">
        <f>IF(F3&gt;Settings!$B$8,"Yes","No")</f>
        <v/>
      </c>
      <c r="H3" s="14">
        <f>IF(A3="Industry",IF(G3="Yes",Settings!$B$5,Settings!$B$4),IF(G3="Yes",Settings!$B$7,Settings!$B$6))</f>
        <v/>
      </c>
      <c r="I3" s="19">
        <f>H3-D3</f>
        <v/>
      </c>
      <c r="J3" s="20">
        <f>IF(H3&gt;0,D3/H3,0)</f>
        <v/>
      </c>
      <c r="K3" s="11">
        <f>IF(J3&gt;1,"Breach",IF(J3&gt;=Settings!$B$9,"Watch","Within"))</f>
        <v/>
      </c>
    </row>
    <row r="4">
      <c r="A4" s="6" t="inlineStr">
        <is>
          <t>Industry</t>
        </is>
      </c>
      <c r="B4" s="6" t="inlineStr">
        <is>
          <t>Manufacturing</t>
        </is>
      </c>
      <c r="C4" s="16" t="n">
        <v>44575</v>
      </c>
      <c r="D4" s="17" t="n">
        <v>0.1287</v>
      </c>
      <c r="E4" s="17" t="n">
        <v>0.09699999999999999</v>
      </c>
      <c r="F4" s="18">
        <f>IF(D4&gt;0,E4/D4,0)</f>
        <v/>
      </c>
      <c r="G4" s="11">
        <f>IF(F4&gt;Settings!$B$8,"Yes","No")</f>
        <v/>
      </c>
      <c r="H4" s="14">
        <f>IF(A4="Industry",IF(G4="Yes",Settings!$B$5,Settings!$B$4),IF(G4="Yes",Settings!$B$7,Settings!$B$6))</f>
        <v/>
      </c>
      <c r="I4" s="19">
        <f>H4-D4</f>
        <v/>
      </c>
      <c r="J4" s="20">
        <f>IF(H4&gt;0,D4/H4,0)</f>
        <v/>
      </c>
      <c r="K4" s="11">
        <f>IF(J4&gt;1,"Breach",IF(J4&gt;=Settings!$B$9,"Watch","Within"))</f>
        <v/>
      </c>
    </row>
    <row r="5">
      <c r="A5" s="6" t="inlineStr">
        <is>
          <t>Industry</t>
        </is>
      </c>
      <c r="B5" s="6" t="inlineStr">
        <is>
          <t>Health Care &amp; Social Assistance</t>
        </is>
      </c>
      <c r="C5" s="16" t="n">
        <v>35281</v>
      </c>
      <c r="D5" s="17" t="n">
        <v>0.0851</v>
      </c>
      <c r="E5" s="17" t="n">
        <v>0.04969999999999999</v>
      </c>
      <c r="F5" s="18">
        <f>IF(D5&gt;0,E5/D5,0)</f>
        <v/>
      </c>
      <c r="G5" s="11">
        <f>IF(F5&gt;Settings!$B$8,"Yes","No")</f>
        <v/>
      </c>
      <c r="H5" s="14">
        <f>IF(A5="Industry",IF(G5="Yes",Settings!$B$5,Settings!$B$4),IF(G5="Yes",Settings!$B$7,Settings!$B$6))</f>
        <v/>
      </c>
      <c r="I5" s="19">
        <f>H5-D5</f>
        <v/>
      </c>
      <c r="J5" s="20">
        <f>IF(H5&gt;0,D5/H5,0)</f>
        <v/>
      </c>
      <c r="K5" s="11">
        <f>IF(J5&gt;1,"Breach",IF(J5&gt;=Settings!$B$9,"Watch","Within"))</f>
        <v/>
      </c>
    </row>
    <row r="6">
      <c r="A6" s="6" t="inlineStr">
        <is>
          <t>Industry</t>
        </is>
      </c>
      <c r="B6" s="6" t="inlineStr">
        <is>
          <t>Other Services (repair, personal care, etc.)</t>
        </is>
      </c>
      <c r="C6" s="16" t="n">
        <v>49725</v>
      </c>
      <c r="D6" s="17" t="n">
        <v>0.0815</v>
      </c>
      <c r="E6" s="17" t="n">
        <v>0.09320000000000001</v>
      </c>
      <c r="F6" s="18">
        <f>IF(D6&gt;0,E6/D6,0)</f>
        <v/>
      </c>
      <c r="G6" s="11">
        <f>IF(F6&gt;Settings!$B$8,"Yes","No")</f>
        <v/>
      </c>
      <c r="H6" s="14">
        <f>IF(A6="Industry",IF(G6="Yes",Settings!$B$5,Settings!$B$4),IF(G6="Yes",Settings!$B$7,Settings!$B$6))</f>
        <v/>
      </c>
      <c r="I6" s="19">
        <f>H6-D6</f>
        <v/>
      </c>
      <c r="J6" s="20">
        <f>IF(H6&gt;0,D6/H6,0)</f>
        <v/>
      </c>
      <c r="K6" s="11">
        <f>IF(J6&gt;1,"Breach",IF(J6&gt;=Settings!$B$9,"Watch","Within"))</f>
        <v/>
      </c>
    </row>
    <row r="7">
      <c r="A7" s="6" t="inlineStr">
        <is>
          <t>Industry</t>
        </is>
      </c>
      <c r="B7" s="6" t="inlineStr">
        <is>
          <t>Wholesale Trade</t>
        </is>
      </c>
      <c r="C7" s="16" t="n">
        <v>31551</v>
      </c>
      <c r="D7" s="17" t="n">
        <v>0.07519999999999999</v>
      </c>
      <c r="E7" s="17" t="n">
        <v>0.06469999999999999</v>
      </c>
      <c r="F7" s="18">
        <f>IF(D7&gt;0,E7/D7,0)</f>
        <v/>
      </c>
      <c r="G7" s="11">
        <f>IF(F7&gt;Settings!$B$8,"Yes","No")</f>
        <v/>
      </c>
      <c r="H7" s="14">
        <f>IF(A7="Industry",IF(G7="Yes",Settings!$B$5,Settings!$B$4),IF(G7="Yes",Settings!$B$7,Settings!$B$6))</f>
        <v/>
      </c>
      <c r="I7" s="19">
        <f>H7-D7</f>
        <v/>
      </c>
      <c r="J7" s="20">
        <f>IF(H7&gt;0,D7/H7,0)</f>
        <v/>
      </c>
      <c r="K7" s="11">
        <f>IF(J7&gt;1,"Breach",IF(J7&gt;=Settings!$B$9,"Watch","Within"))</f>
        <v/>
      </c>
    </row>
    <row r="8">
      <c r="A8" s="6" t="inlineStr">
        <is>
          <t>Industry</t>
        </is>
      </c>
      <c r="B8" s="6" t="inlineStr">
        <is>
          <t>Professional, Scientific &amp; Technical Services</t>
        </is>
      </c>
      <c r="C8" s="16" t="n">
        <v>51237</v>
      </c>
      <c r="D8" s="17" t="n">
        <v>0.0726</v>
      </c>
      <c r="E8" s="17" t="n">
        <v>0.0679</v>
      </c>
      <c r="F8" s="18">
        <f>IF(D8&gt;0,E8/D8,0)</f>
        <v/>
      </c>
      <c r="G8" s="11">
        <f>IF(F8&gt;Settings!$B$8,"Yes","No")</f>
        <v/>
      </c>
      <c r="H8" s="14">
        <f>IF(A8="Industry",IF(G8="Yes",Settings!$B$5,Settings!$B$4),IF(G8="Yes",Settings!$B$7,Settings!$B$6))</f>
        <v/>
      </c>
      <c r="I8" s="19">
        <f>H8-D8</f>
        <v/>
      </c>
      <c r="J8" s="20">
        <f>IF(H8&gt;0,D8/H8,0)</f>
        <v/>
      </c>
      <c r="K8" s="11">
        <f>IF(J8&gt;1,"Breach",IF(J8&gt;=Settings!$B$9,"Watch","Within"))</f>
        <v/>
      </c>
    </row>
    <row r="9">
      <c r="A9" s="6" t="inlineStr">
        <is>
          <t>Industry</t>
        </is>
      </c>
      <c r="B9" s="6" t="inlineStr">
        <is>
          <t>Construction</t>
        </is>
      </c>
      <c r="C9" s="16" t="n">
        <v>48347</v>
      </c>
      <c r="D9" s="17" t="n">
        <v>0.0673</v>
      </c>
      <c r="E9" s="17" t="n">
        <v>0.09080000000000001</v>
      </c>
      <c r="F9" s="18">
        <f>IF(D9&gt;0,E9/D9,0)</f>
        <v/>
      </c>
      <c r="G9" s="11">
        <f>IF(F9&gt;Settings!$B$8,"Yes","No")</f>
        <v/>
      </c>
      <c r="H9" s="14">
        <f>IF(A9="Industry",IF(G9="Yes",Settings!$B$5,Settings!$B$4),IF(G9="Yes",Settings!$B$7,Settings!$B$6))</f>
        <v/>
      </c>
      <c r="I9" s="19">
        <f>H9-D9</f>
        <v/>
      </c>
      <c r="J9" s="20">
        <f>IF(H9&gt;0,D9/H9,0)</f>
        <v/>
      </c>
      <c r="K9" s="11">
        <f>IF(J9&gt;1,"Breach",IF(J9&gt;=Settings!$B$9,"Watch","Within"))</f>
        <v/>
      </c>
    </row>
    <row r="10">
      <c r="A10" s="6" t="inlineStr">
        <is>
          <t>Industry</t>
        </is>
      </c>
      <c r="B10" s="6" t="inlineStr">
        <is>
          <t>Administrative &amp; Support / Waste Management</t>
        </is>
      </c>
      <c r="C10" s="16" t="n">
        <v>27633</v>
      </c>
      <c r="D10" s="17" t="n">
        <v>0.0316</v>
      </c>
      <c r="E10" s="17" t="n">
        <v>0.0389</v>
      </c>
      <c r="F10" s="18">
        <f>IF(D10&gt;0,E10/D10,0)</f>
        <v/>
      </c>
      <c r="G10" s="11">
        <f>IF(F10&gt;Settings!$B$8,"Yes","No")</f>
        <v/>
      </c>
      <c r="H10" s="14">
        <f>IF(A10="Industry",IF(G10="Yes",Settings!$B$5,Settings!$B$4),IF(G10="Yes",Settings!$B$7,Settings!$B$6))</f>
        <v/>
      </c>
      <c r="I10" s="19">
        <f>H10-D10</f>
        <v/>
      </c>
      <c r="J10" s="20">
        <f>IF(H10&gt;0,D10/H10,0)</f>
        <v/>
      </c>
      <c r="K10" s="11">
        <f>IF(J10&gt;1,"Breach",IF(J10&gt;=Settings!$B$9,"Watch","Within"))</f>
        <v/>
      </c>
    </row>
    <row r="11">
      <c r="A11" s="6" t="inlineStr">
        <is>
          <t>Industry</t>
        </is>
      </c>
      <c r="B11" s="6" t="inlineStr">
        <is>
          <t>Transportation &amp; Warehousing</t>
        </is>
      </c>
      <c r="C11" s="16" t="n">
        <v>19549</v>
      </c>
      <c r="D11" s="17" t="n">
        <v>0.0246</v>
      </c>
      <c r="E11" s="17" t="n">
        <v>0.0286</v>
      </c>
      <c r="F11" s="18">
        <f>IF(D11&gt;0,E11/D11,0)</f>
        <v/>
      </c>
      <c r="G11" s="11">
        <f>IF(F11&gt;Settings!$B$8,"Yes","No")</f>
        <v/>
      </c>
      <c r="H11" s="14">
        <f>IF(A11="Industry",IF(G11="Yes",Settings!$B$5,Settings!$B$4),IF(G11="Yes",Settings!$B$7,Settings!$B$6))</f>
        <v/>
      </c>
      <c r="I11" s="19">
        <f>H11-D11</f>
        <v/>
      </c>
      <c r="J11" s="20">
        <f>IF(H11&gt;0,D11/H11,0)</f>
        <v/>
      </c>
      <c r="K11" s="11">
        <f>IF(J11&gt;1,"Breach",IF(J11&gt;=Settings!$B$9,"Watch","Within"))</f>
        <v/>
      </c>
    </row>
    <row r="12">
      <c r="A12" s="6" t="inlineStr">
        <is>
          <t>Industry</t>
        </is>
      </c>
      <c r="B12" s="6" t="inlineStr">
        <is>
          <t>Arts, Entertainment &amp; Recreation</t>
        </is>
      </c>
      <c r="C12" s="16" t="n">
        <v>10339</v>
      </c>
      <c r="D12" s="17" t="n">
        <v>0.022</v>
      </c>
      <c r="E12" s="17" t="n">
        <v>0.0249</v>
      </c>
      <c r="F12" s="18">
        <f>IF(D12&gt;0,E12/D12,0)</f>
        <v/>
      </c>
      <c r="G12" s="11">
        <f>IF(F12&gt;Settings!$B$8,"Yes","No")</f>
        <v/>
      </c>
      <c r="H12" s="14">
        <f>IF(A12="Industry",IF(G12="Yes",Settings!$B$5,Settings!$B$4),IF(G12="Yes",Settings!$B$7,Settings!$B$6))</f>
        <v/>
      </c>
      <c r="I12" s="19">
        <f>H12-D12</f>
        <v/>
      </c>
      <c r="J12" s="20">
        <f>IF(H12&gt;0,D12/H12,0)</f>
        <v/>
      </c>
      <c r="K12" s="11">
        <f>IF(J12&gt;1,"Breach",IF(J12&gt;=Settings!$B$9,"Watch","Within"))</f>
        <v/>
      </c>
    </row>
    <row r="13">
      <c r="A13" s="6" t="inlineStr">
        <is>
          <t>Industry</t>
        </is>
      </c>
      <c r="B13" s="6" t="inlineStr">
        <is>
          <t>Real Estate, Rental &amp; Leasing</t>
        </is>
      </c>
      <c r="C13" s="16" t="n">
        <v>11203</v>
      </c>
      <c r="D13" s="17" t="n">
        <v>0.0194</v>
      </c>
      <c r="E13" s="17" t="n">
        <v>0.0223</v>
      </c>
      <c r="F13" s="18">
        <f>IF(D13&gt;0,E13/D13,0)</f>
        <v/>
      </c>
      <c r="G13" s="11">
        <f>IF(F13&gt;Settings!$B$8,"Yes","No")</f>
        <v/>
      </c>
      <c r="H13" s="14">
        <f>IF(A13="Industry",IF(G13="Yes",Settings!$B$5,Settings!$B$4),IF(G13="Yes",Settings!$B$7,Settings!$B$6))</f>
        <v/>
      </c>
      <c r="I13" s="19">
        <f>H13-D13</f>
        <v/>
      </c>
      <c r="J13" s="20">
        <f>IF(H13&gt;0,D13/H13,0)</f>
        <v/>
      </c>
      <c r="K13" s="11">
        <f>IF(J13&gt;1,"Breach",IF(J13&gt;=Settings!$B$9,"Watch","Within"))</f>
        <v/>
      </c>
    </row>
    <row r="14">
      <c r="A14" s="6" t="inlineStr">
        <is>
          <t>Industry</t>
        </is>
      </c>
      <c r="B14" s="6" t="inlineStr">
        <is>
          <t>Information</t>
        </is>
      </c>
      <c r="C14" s="16" t="n">
        <v>8925</v>
      </c>
      <c r="D14" s="17" t="n">
        <v>0.0131</v>
      </c>
      <c r="E14" s="17" t="n">
        <v>0.0141</v>
      </c>
      <c r="F14" s="18">
        <f>IF(D14&gt;0,E14/D14,0)</f>
        <v/>
      </c>
      <c r="G14" s="11">
        <f>IF(F14&gt;Settings!$B$8,"Yes","No")</f>
        <v/>
      </c>
      <c r="H14" s="14">
        <f>IF(A14="Industry",IF(G14="Yes",Settings!$B$5,Settings!$B$4),IF(G14="Yes",Settings!$B$7,Settings!$B$6))</f>
        <v/>
      </c>
      <c r="I14" s="19">
        <f>H14-D14</f>
        <v/>
      </c>
      <c r="J14" s="20">
        <f>IF(H14&gt;0,D14/H14,0)</f>
        <v/>
      </c>
      <c r="K14" s="11">
        <f>IF(J14&gt;1,"Breach",IF(J14&gt;=Settings!$B$9,"Watch","Within"))</f>
        <v/>
      </c>
    </row>
    <row r="15">
      <c r="A15" s="6" t="inlineStr">
        <is>
          <t>Industry</t>
        </is>
      </c>
      <c r="B15" s="6" t="inlineStr">
        <is>
          <t>Finance &amp; Insurance</t>
        </is>
      </c>
      <c r="C15" s="16" t="n">
        <v>8467</v>
      </c>
      <c r="D15" s="17" t="n">
        <v>0.0125</v>
      </c>
      <c r="E15" s="17" t="n">
        <v>0.0131</v>
      </c>
      <c r="F15" s="18">
        <f>IF(D15&gt;0,E15/D15,0)</f>
        <v/>
      </c>
      <c r="G15" s="11">
        <f>IF(F15&gt;Settings!$B$8,"Yes","No")</f>
        <v/>
      </c>
      <c r="H15" s="14">
        <f>IF(A15="Industry",IF(G15="Yes",Settings!$B$5,Settings!$B$4),IF(G15="Yes",Settings!$B$7,Settings!$B$6))</f>
        <v/>
      </c>
      <c r="I15" s="19">
        <f>H15-D15</f>
        <v/>
      </c>
      <c r="J15" s="20">
        <f>IF(H15&gt;0,D15/H15,0)</f>
        <v/>
      </c>
      <c r="K15" s="11">
        <f>IF(J15&gt;1,"Breach",IF(J15&gt;=Settings!$B$9,"Watch","Within"))</f>
        <v/>
      </c>
    </row>
    <row r="16">
      <c r="A16" s="6" t="inlineStr">
        <is>
          <t>Industry</t>
        </is>
      </c>
      <c r="B16" s="6" t="inlineStr">
        <is>
          <t>Agriculture, Forestry, Fishing &amp; Hunting</t>
        </is>
      </c>
      <c r="C16" s="16" t="n">
        <v>3817</v>
      </c>
      <c r="D16" s="17" t="n">
        <v>0.0118</v>
      </c>
      <c r="E16" s="17" t="n">
        <v>0.0112</v>
      </c>
      <c r="F16" s="18">
        <f>IF(D16&gt;0,E16/D16,0)</f>
        <v/>
      </c>
      <c r="G16" s="11">
        <f>IF(F16&gt;Settings!$B$8,"Yes","No")</f>
        <v/>
      </c>
      <c r="H16" s="14">
        <f>IF(A16="Industry",IF(G16="Yes",Settings!$B$5,Settings!$B$4),IF(G16="Yes",Settings!$B$7,Settings!$B$6))</f>
        <v/>
      </c>
      <c r="I16" s="19">
        <f>H16-D16</f>
        <v/>
      </c>
      <c r="J16" s="20">
        <f>IF(H16&gt;0,D16/H16,0)</f>
        <v/>
      </c>
      <c r="K16" s="11">
        <f>IF(J16&gt;1,"Breach",IF(J16&gt;=Settings!$B$9,"Watch","Within"))</f>
        <v/>
      </c>
    </row>
    <row r="17">
      <c r="A17" s="6" t="inlineStr">
        <is>
          <t>Industry</t>
        </is>
      </c>
      <c r="B17" s="6" t="inlineStr">
        <is>
          <t>Educational Services</t>
        </is>
      </c>
      <c r="C17" s="16" t="n">
        <v>5858</v>
      </c>
      <c r="D17" s="17" t="n">
        <v>0.008699999999999999</v>
      </c>
      <c r="E17" s="17" t="n">
        <v>0.009899999999999999</v>
      </c>
      <c r="F17" s="18">
        <f>IF(D17&gt;0,E17/D17,0)</f>
        <v/>
      </c>
      <c r="G17" s="11">
        <f>IF(F17&gt;Settings!$B$8,"Yes","No")</f>
        <v/>
      </c>
      <c r="H17" s="14">
        <f>IF(A17="Industry",IF(G17="Yes",Settings!$B$5,Settings!$B$4),IF(G17="Yes",Settings!$B$7,Settings!$B$6))</f>
        <v/>
      </c>
      <c r="I17" s="19">
        <f>H17-D17</f>
        <v/>
      </c>
      <c r="J17" s="20">
        <f>IF(H17&gt;0,D17/H17,0)</f>
        <v/>
      </c>
      <c r="K17" s="11">
        <f>IF(J17&gt;1,"Breach",IF(J17&gt;=Settings!$B$9,"Watch","Within"))</f>
        <v/>
      </c>
    </row>
    <row r="18">
      <c r="A18" s="6" t="inlineStr">
        <is>
          <t>Industry</t>
        </is>
      </c>
      <c r="B18" s="6" t="inlineStr">
        <is>
          <t>Mining, Oil &amp; Gas</t>
        </is>
      </c>
      <c r="C18" s="16" t="n">
        <v>987</v>
      </c>
      <c r="D18" s="17" t="n">
        <v>0.0029</v>
      </c>
      <c r="E18" s="17" t="n">
        <v>0.0013</v>
      </c>
      <c r="F18" s="18">
        <f>IF(D18&gt;0,E18/D18,0)</f>
        <v/>
      </c>
      <c r="G18" s="11">
        <f>IF(F18&gt;Settings!$B$8,"Yes","No")</f>
        <v/>
      </c>
      <c r="H18" s="14">
        <f>IF(A18="Industry",IF(G18="Yes",Settings!$B$5,Settings!$B$4),IF(G18="Yes",Settings!$B$7,Settings!$B$6))</f>
        <v/>
      </c>
      <c r="I18" s="19">
        <f>H18-D18</f>
        <v/>
      </c>
      <c r="J18" s="20">
        <f>IF(H18&gt;0,D18/H18,0)</f>
        <v/>
      </c>
      <c r="K18" s="11">
        <f>IF(J18&gt;1,"Breach",IF(J18&gt;=Settings!$B$9,"Watch","Within"))</f>
        <v/>
      </c>
    </row>
    <row r="19">
      <c r="A19" s="6" t="inlineStr">
        <is>
          <t>Industry</t>
        </is>
      </c>
      <c r="B19" s="6" t="inlineStr">
        <is>
          <t>Utilities</t>
        </is>
      </c>
      <c r="C19" s="16" t="n">
        <v>399</v>
      </c>
      <c r="D19" s="17" t="n">
        <v>0.0005999999999999999</v>
      </c>
      <c r="E19" s="17" t="n">
        <v>0.0005</v>
      </c>
      <c r="F19" s="18">
        <f>IF(D19&gt;0,E19/D19,0)</f>
        <v/>
      </c>
      <c r="G19" s="11">
        <f>IF(F19&gt;Settings!$B$8,"Yes","No")</f>
        <v/>
      </c>
      <c r="H19" s="14">
        <f>IF(A19="Industry",IF(G19="Yes",Settings!$B$5,Settings!$B$4),IF(G19="Yes",Settings!$B$7,Settings!$B$6))</f>
        <v/>
      </c>
      <c r="I19" s="19">
        <f>H19-D19</f>
        <v/>
      </c>
      <c r="J19" s="20">
        <f>IF(H19&gt;0,D19/H19,0)</f>
        <v/>
      </c>
      <c r="K19" s="11">
        <f>IF(J19&gt;1,"Breach",IF(J19&gt;=Settings!$B$9,"Watch","Within"))</f>
        <v/>
      </c>
    </row>
    <row r="20">
      <c r="A20" s="6" t="inlineStr">
        <is>
          <t>Industry</t>
        </is>
      </c>
      <c r="B20" s="6" t="inlineStr">
        <is>
          <t>Management of Companies</t>
        </is>
      </c>
      <c r="C20" s="16" t="n">
        <v>126</v>
      </c>
      <c r="D20" s="17" t="n">
        <v>0.0004</v>
      </c>
      <c r="E20" s="17" t="n">
        <v>0.0002</v>
      </c>
      <c r="F20" s="18">
        <f>IF(D20&gt;0,E20/D20,0)</f>
        <v/>
      </c>
      <c r="G20" s="11">
        <f>IF(F20&gt;Settings!$B$8,"Yes","No")</f>
        <v/>
      </c>
      <c r="H20" s="14">
        <f>IF(A20="Industry",IF(G20="Yes",Settings!$B$5,Settings!$B$4),IF(G20="Yes",Settings!$B$7,Settings!$B$6))</f>
        <v/>
      </c>
      <c r="I20" s="19">
        <f>H20-D20</f>
        <v/>
      </c>
      <c r="J20" s="20">
        <f>IF(H20&gt;0,D20/H20,0)</f>
        <v/>
      </c>
      <c r="K20" s="11">
        <f>IF(J20&gt;1,"Breach",IF(J20&gt;=Settings!$B$9,"Watch","Within"))</f>
        <v/>
      </c>
    </row>
    <row r="21">
      <c r="A21" s="6" t="inlineStr">
        <is>
          <t>Industry</t>
        </is>
      </c>
      <c r="B21" s="6" t="inlineStr">
        <is>
          <t>Not recorded</t>
        </is>
      </c>
      <c r="C21" s="16" t="n">
        <v>68</v>
      </c>
      <c r="D21" s="17" t="n">
        <v>0.0002</v>
      </c>
      <c r="E21" s="17" t="n">
        <v>0.0004</v>
      </c>
      <c r="F21" s="18">
        <f>IF(D21&gt;0,E21/D21,0)</f>
        <v/>
      </c>
      <c r="G21" s="11">
        <f>IF(F21&gt;Settings!$B$8,"Yes","No")</f>
        <v/>
      </c>
      <c r="H21" s="14">
        <f>IF(A21="Industry",IF(G21="Yes",Settings!$B$5,Settings!$B$4),IF(G21="Yes",Settings!$B$7,Settings!$B$6))</f>
        <v/>
      </c>
      <c r="I21" s="19">
        <f>H21-D21</f>
        <v/>
      </c>
      <c r="J21" s="20">
        <f>IF(H21&gt;0,D21/H21,0)</f>
        <v/>
      </c>
      <c r="K21" s="11">
        <f>IF(J21&gt;1,"Breach",IF(J21&gt;=Settings!$B$9,"Watch","Within"))</f>
        <v/>
      </c>
    </row>
    <row r="22">
      <c r="A22" s="6" t="inlineStr">
        <is>
          <t>Industry</t>
        </is>
      </c>
      <c r="B22" s="6" t="inlineStr">
        <is>
          <t>Public Administration</t>
        </is>
      </c>
      <c r="C22" s="16" t="n">
        <v>81</v>
      </c>
      <c r="D22" s="17" t="n">
        <v>0</v>
      </c>
      <c r="E22" s="17" t="n">
        <v>0.0001</v>
      </c>
      <c r="F22" s="18">
        <f>IF(D22&gt;0,E22/D22,0)</f>
        <v/>
      </c>
      <c r="G22" s="11">
        <f>IF(F22&gt;Settings!$B$8,"Yes","No")</f>
        <v/>
      </c>
      <c r="H22" s="14">
        <f>IF(A22="Industry",IF(G22="Yes",Settings!$B$5,Settings!$B$4),IF(G22="Yes",Settings!$B$7,Settings!$B$6))</f>
        <v/>
      </c>
      <c r="I22" s="19">
        <f>H22-D22</f>
        <v/>
      </c>
      <c r="J22" s="20">
        <f>IF(H22&gt;0,D22/H22,0)</f>
        <v/>
      </c>
      <c r="K22" s="11">
        <f>IF(J22&gt;1,"Breach",IF(J22&gt;=Settings!$B$9,"Watch","Within"))</f>
        <v/>
      </c>
    </row>
    <row r="23">
      <c r="A23" s="6" t="inlineStr">
        <is>
          <t>State</t>
        </is>
      </c>
      <c r="B23" s="6" t="inlineStr">
        <is>
          <t>CA</t>
        </is>
      </c>
      <c r="C23" s="16" t="n">
        <v>73505</v>
      </c>
      <c r="D23" s="17" t="n">
        <v>0.1992</v>
      </c>
      <c r="E23" s="17" t="n">
        <v>0.168</v>
      </c>
      <c r="F23" s="18">
        <f>IF(D23&gt;0,E23/D23,0)</f>
        <v/>
      </c>
      <c r="G23" s="11">
        <f>IF(F23&gt;Settings!$B$8,"Yes","No")</f>
        <v/>
      </c>
      <c r="H23" s="14">
        <f>IF(A23="Industry",IF(G23="Yes",Settings!$B$5,Settings!$B$4),IF(G23="Yes",Settings!$B$7,Settings!$B$6))</f>
        <v/>
      </c>
      <c r="I23" s="19">
        <f>H23-D23</f>
        <v/>
      </c>
      <c r="J23" s="20">
        <f>IF(H23&gt;0,D23/H23,0)</f>
        <v/>
      </c>
      <c r="K23" s="11">
        <f>IF(J23&gt;1,"Breach",IF(J23&gt;=Settings!$B$9,"Watch","Within"))</f>
        <v/>
      </c>
    </row>
    <row r="24">
      <c r="A24" s="6" t="inlineStr">
        <is>
          <t>State</t>
        </is>
      </c>
      <c r="B24" s="6" t="inlineStr">
        <is>
          <t>TX</t>
        </is>
      </c>
      <c r="C24" s="16" t="n">
        <v>36965</v>
      </c>
      <c r="D24" s="17" t="n">
        <v>0.08380000000000001</v>
      </c>
      <c r="E24" s="17" t="n">
        <v>0.08689999999999999</v>
      </c>
      <c r="F24" s="18">
        <f>IF(D24&gt;0,E24/D24,0)</f>
        <v/>
      </c>
      <c r="G24" s="11">
        <f>IF(F24&gt;Settings!$B$8,"Yes","No")</f>
        <v/>
      </c>
      <c r="H24" s="14">
        <f>IF(A24="Industry",IF(G24="Yes",Settings!$B$5,Settings!$B$4),IF(G24="Yes",Settings!$B$7,Settings!$B$6))</f>
        <v/>
      </c>
      <c r="I24" s="19">
        <f>H24-D24</f>
        <v/>
      </c>
      <c r="J24" s="20">
        <f>IF(H24&gt;0,D24/H24,0)</f>
        <v/>
      </c>
      <c r="K24" s="11">
        <f>IF(J24&gt;1,"Breach",IF(J24&gt;=Settings!$B$9,"Watch","Within"))</f>
        <v/>
      </c>
    </row>
    <row r="25">
      <c r="A25" s="6" t="inlineStr">
        <is>
          <t>State</t>
        </is>
      </c>
      <c r="B25" s="6" t="inlineStr">
        <is>
          <t>FL</t>
        </is>
      </c>
      <c r="C25" s="16" t="n">
        <v>28141</v>
      </c>
      <c r="D25" s="17" t="n">
        <v>0.0554</v>
      </c>
      <c r="E25" s="17" t="n">
        <v>0.08800000000000001</v>
      </c>
      <c r="F25" s="18">
        <f>IF(D25&gt;0,E25/D25,0)</f>
        <v/>
      </c>
      <c r="G25" s="11">
        <f>IF(F25&gt;Settings!$B$8,"Yes","No")</f>
        <v/>
      </c>
      <c r="H25" s="14">
        <f>IF(A25="Industry",IF(G25="Yes",Settings!$B$5,Settings!$B$4),IF(G25="Yes",Settings!$B$7,Settings!$B$6))</f>
        <v/>
      </c>
      <c r="I25" s="19">
        <f>H25-D25</f>
        <v/>
      </c>
      <c r="J25" s="20">
        <f>IF(H25&gt;0,D25/H25,0)</f>
        <v/>
      </c>
      <c r="K25" s="11">
        <f>IF(J25&gt;1,"Breach",IF(J25&gt;=Settings!$B$9,"Watch","Within"))</f>
        <v/>
      </c>
    </row>
    <row r="26">
      <c r="A26" s="6" t="inlineStr">
        <is>
          <t>State</t>
        </is>
      </c>
      <c r="B26" s="6" t="inlineStr">
        <is>
          <t>NY</t>
        </is>
      </c>
      <c r="C26" s="16" t="n">
        <v>34379</v>
      </c>
      <c r="D26" s="17" t="n">
        <v>0.0436</v>
      </c>
      <c r="E26" s="17" t="n">
        <v>0.0552</v>
      </c>
      <c r="F26" s="18">
        <f>IF(D26&gt;0,E26/D26,0)</f>
        <v/>
      </c>
      <c r="G26" s="11">
        <f>IF(F26&gt;Settings!$B$8,"Yes","No")</f>
        <v/>
      </c>
      <c r="H26" s="14">
        <f>IF(A26="Industry",IF(G26="Yes",Settings!$B$5,Settings!$B$4),IF(G26="Yes",Settings!$B$7,Settings!$B$6))</f>
        <v/>
      </c>
      <c r="I26" s="19">
        <f>H26-D26</f>
        <v/>
      </c>
      <c r="J26" s="20">
        <f>IF(H26&gt;0,D26/H26,0)</f>
        <v/>
      </c>
      <c r="K26" s="11">
        <f>IF(J26&gt;1,"Breach",IF(J26&gt;=Settings!$B$9,"Watch","Within"))</f>
        <v/>
      </c>
    </row>
    <row r="27">
      <c r="A27" s="6" t="inlineStr">
        <is>
          <t>State</t>
        </is>
      </c>
      <c r="B27" s="6" t="inlineStr">
        <is>
          <t>PA</t>
        </is>
      </c>
      <c r="C27" s="16" t="n">
        <v>22941</v>
      </c>
      <c r="D27" s="17" t="n">
        <v>0.0329</v>
      </c>
      <c r="E27" s="17" t="n">
        <v>0.0305</v>
      </c>
      <c r="F27" s="18">
        <f>IF(D27&gt;0,E27/D27,0)</f>
        <v/>
      </c>
      <c r="G27" s="11">
        <f>IF(F27&gt;Settings!$B$8,"Yes","No")</f>
        <v/>
      </c>
      <c r="H27" s="14">
        <f>IF(A27="Industry",IF(G27="Yes",Settings!$B$5,Settings!$B$4),IF(G27="Yes",Settings!$B$7,Settings!$B$6))</f>
        <v/>
      </c>
      <c r="I27" s="19">
        <f>H27-D27</f>
        <v/>
      </c>
      <c r="J27" s="20">
        <f>IF(H27&gt;0,D27/H27,0)</f>
        <v/>
      </c>
      <c r="K27" s="11">
        <f>IF(J27&gt;1,"Breach",IF(J27&gt;=Settings!$B$9,"Watch","Within"))</f>
        <v/>
      </c>
    </row>
    <row r="28">
      <c r="A28" s="6" t="inlineStr">
        <is>
          <t>State</t>
        </is>
      </c>
      <c r="B28" s="6" t="inlineStr">
        <is>
          <t>GA</t>
        </is>
      </c>
      <c r="C28" s="16" t="n">
        <v>12585</v>
      </c>
      <c r="D28" s="17" t="n">
        <v>0.0327</v>
      </c>
      <c r="E28" s="17" t="n">
        <v>0.0426</v>
      </c>
      <c r="F28" s="18">
        <f>IF(D28&gt;0,E28/D28,0)</f>
        <v/>
      </c>
      <c r="G28" s="11">
        <f>IF(F28&gt;Settings!$B$8,"Yes","No")</f>
        <v/>
      </c>
      <c r="H28" s="14">
        <f>IF(A28="Industry",IF(G28="Yes",Settings!$B$5,Settings!$B$4),IF(G28="Yes",Settings!$B$7,Settings!$B$6))</f>
        <v/>
      </c>
      <c r="I28" s="19">
        <f>H28-D28</f>
        <v/>
      </c>
      <c r="J28" s="20">
        <f>IF(H28&gt;0,D28/H28,0)</f>
        <v/>
      </c>
      <c r="K28" s="11">
        <f>IF(J28&gt;1,"Breach",IF(J28&gt;=Settings!$B$9,"Watch","Within"))</f>
        <v/>
      </c>
    </row>
    <row r="29">
      <c r="A29" s="6" t="inlineStr">
        <is>
          <t>State</t>
        </is>
      </c>
      <c r="B29" s="6" t="inlineStr">
        <is>
          <t>IL</t>
        </is>
      </c>
      <c r="C29" s="16" t="n">
        <v>17886</v>
      </c>
      <c r="D29" s="17" t="n">
        <v>0.0317</v>
      </c>
      <c r="E29" s="17" t="n">
        <v>0.03700000000000001</v>
      </c>
      <c r="F29" s="18">
        <f>IF(D29&gt;0,E29/D29,0)</f>
        <v/>
      </c>
      <c r="G29" s="11">
        <f>IF(F29&gt;Settings!$B$8,"Yes","No")</f>
        <v/>
      </c>
      <c r="H29" s="14">
        <f>IF(A29="Industry",IF(G29="Yes",Settings!$B$5,Settings!$B$4),IF(G29="Yes",Settings!$B$7,Settings!$B$6))</f>
        <v/>
      </c>
      <c r="I29" s="19">
        <f>H29-D29</f>
        <v/>
      </c>
      <c r="J29" s="20">
        <f>IF(H29&gt;0,D29/H29,0)</f>
        <v/>
      </c>
      <c r="K29" s="11">
        <f>IF(J29&gt;1,"Breach",IF(J29&gt;=Settings!$B$9,"Watch","Within"))</f>
        <v/>
      </c>
    </row>
    <row r="30">
      <c r="A30" s="6" t="inlineStr">
        <is>
          <t>State</t>
        </is>
      </c>
      <c r="B30" s="6" t="inlineStr">
        <is>
          <t>OH</t>
        </is>
      </c>
      <c r="C30" s="16" t="n">
        <v>18989</v>
      </c>
      <c r="D30" s="17" t="n">
        <v>0.0302</v>
      </c>
      <c r="E30" s="17" t="n">
        <v>0.0294</v>
      </c>
      <c r="F30" s="18">
        <f>IF(D30&gt;0,E30/D30,0)</f>
        <v/>
      </c>
      <c r="G30" s="11">
        <f>IF(F30&gt;Settings!$B$8,"Yes","No")</f>
        <v/>
      </c>
      <c r="H30" s="14">
        <f>IF(A30="Industry",IF(G30="Yes",Settings!$B$5,Settings!$B$4),IF(G30="Yes",Settings!$B$7,Settings!$B$6))</f>
        <v/>
      </c>
      <c r="I30" s="19">
        <f>H30-D30</f>
        <v/>
      </c>
      <c r="J30" s="20">
        <f>IF(H30&gt;0,D30/H30,0)</f>
        <v/>
      </c>
      <c r="K30" s="11">
        <f>IF(J30&gt;1,"Breach",IF(J30&gt;=Settings!$B$9,"Watch","Within"))</f>
        <v/>
      </c>
    </row>
    <row r="31">
      <c r="A31" s="6" t="inlineStr">
        <is>
          <t>State</t>
        </is>
      </c>
      <c r="B31" s="6" t="inlineStr">
        <is>
          <t>MN</t>
        </is>
      </c>
      <c r="C31" s="16" t="n">
        <v>13272</v>
      </c>
      <c r="D31" s="17" t="n">
        <v>0.0301</v>
      </c>
      <c r="E31" s="17" t="n">
        <v>0.0225</v>
      </c>
      <c r="F31" s="18">
        <f>IF(D31&gt;0,E31/D31,0)</f>
        <v/>
      </c>
      <c r="G31" s="11">
        <f>IF(F31&gt;Settings!$B$8,"Yes","No")</f>
        <v/>
      </c>
      <c r="H31" s="14">
        <f>IF(A31="Industry",IF(G31="Yes",Settings!$B$5,Settings!$B$4),IF(G31="Yes",Settings!$B$7,Settings!$B$6))</f>
        <v/>
      </c>
      <c r="I31" s="19">
        <f>H31-D31</f>
        <v/>
      </c>
      <c r="J31" s="20">
        <f>IF(H31&gt;0,D31/H31,0)</f>
        <v/>
      </c>
      <c r="K31" s="11">
        <f>IF(J31&gt;1,"Breach",IF(J31&gt;=Settings!$B$9,"Watch","Within"))</f>
        <v/>
      </c>
    </row>
    <row r="32">
      <c r="A32" s="6" t="inlineStr">
        <is>
          <t>State</t>
        </is>
      </c>
      <c r="B32" s="6" t="inlineStr">
        <is>
          <t>NJ</t>
        </is>
      </c>
      <c r="C32" s="16" t="n">
        <v>15463</v>
      </c>
      <c r="D32" s="17" t="n">
        <v>0.0297</v>
      </c>
      <c r="E32" s="17" t="n">
        <v>0.0297</v>
      </c>
      <c r="F32" s="18">
        <f>IF(D32&gt;0,E32/D32,0)</f>
        <v/>
      </c>
      <c r="G32" s="11">
        <f>IF(F32&gt;Settings!$B$8,"Yes","No")</f>
        <v/>
      </c>
      <c r="H32" s="14">
        <f>IF(A32="Industry",IF(G32="Yes",Settings!$B$5,Settings!$B$4),IF(G32="Yes",Settings!$B$7,Settings!$B$6))</f>
        <v/>
      </c>
      <c r="I32" s="19">
        <f>H32-D32</f>
        <v/>
      </c>
      <c r="J32" s="20">
        <f>IF(H32&gt;0,D32/H32,0)</f>
        <v/>
      </c>
      <c r="K32" s="11">
        <f>IF(J32&gt;1,"Breach",IF(J32&gt;=Settings!$B$9,"Watch","Within"))</f>
        <v/>
      </c>
    </row>
    <row r="33">
      <c r="A33" s="6" t="inlineStr">
        <is>
          <t>State</t>
        </is>
      </c>
      <c r="B33" s="6" t="inlineStr">
        <is>
          <t>AZ</t>
        </is>
      </c>
      <c r="C33" s="16" t="n">
        <v>10974</v>
      </c>
      <c r="D33" s="17" t="n">
        <v>0.0293</v>
      </c>
      <c r="E33" s="17" t="n">
        <v>0.0345</v>
      </c>
      <c r="F33" s="18">
        <f>IF(D33&gt;0,E33/D33,0)</f>
        <v/>
      </c>
      <c r="G33" s="11">
        <f>IF(F33&gt;Settings!$B$8,"Yes","No")</f>
        <v/>
      </c>
      <c r="H33" s="14">
        <f>IF(A33="Industry",IF(G33="Yes",Settings!$B$5,Settings!$B$4),IF(G33="Yes",Settings!$B$7,Settings!$B$6))</f>
        <v/>
      </c>
      <c r="I33" s="19">
        <f>H33-D33</f>
        <v/>
      </c>
      <c r="J33" s="20">
        <f>IF(H33&gt;0,D33/H33,0)</f>
        <v/>
      </c>
      <c r="K33" s="11">
        <f>IF(J33&gt;1,"Breach",IF(J33&gt;=Settings!$B$9,"Watch","Within"))</f>
        <v/>
      </c>
    </row>
    <row r="34">
      <c r="A34" s="6" t="inlineStr">
        <is>
          <t>State</t>
        </is>
      </c>
      <c r="B34" s="6" t="inlineStr">
        <is>
          <t>CO</t>
        </is>
      </c>
      <c r="C34" s="16" t="n">
        <v>11497</v>
      </c>
      <c r="D34" s="17" t="n">
        <v>0.0278</v>
      </c>
      <c r="E34" s="17" t="n">
        <v>0.0268</v>
      </c>
      <c r="F34" s="18">
        <f>IF(D34&gt;0,E34/D34,0)</f>
        <v/>
      </c>
      <c r="G34" s="11">
        <f>IF(F34&gt;Settings!$B$8,"Yes","No")</f>
        <v/>
      </c>
      <c r="H34" s="14">
        <f>IF(A34="Industry",IF(G34="Yes",Settings!$B$5,Settings!$B$4),IF(G34="Yes",Settings!$B$7,Settings!$B$6))</f>
        <v/>
      </c>
      <c r="I34" s="19">
        <f>H34-D34</f>
        <v/>
      </c>
      <c r="J34" s="20">
        <f>IF(H34&gt;0,D34/H34,0)</f>
        <v/>
      </c>
      <c r="K34" s="11">
        <f>IF(J34&gt;1,"Breach",IF(J34&gt;=Settings!$B$9,"Watch","Within"))</f>
        <v/>
      </c>
    </row>
    <row r="35">
      <c r="A35" s="6" t="inlineStr">
        <is>
          <t>State</t>
        </is>
      </c>
      <c r="B35" s="6" t="inlineStr">
        <is>
          <t>WA</t>
        </is>
      </c>
      <c r="C35" s="16" t="n">
        <v>12522</v>
      </c>
      <c r="D35" s="17" t="n">
        <v>0.0264</v>
      </c>
      <c r="E35" s="17" t="n">
        <v>0.019</v>
      </c>
      <c r="F35" s="18">
        <f>IF(D35&gt;0,E35/D35,0)</f>
        <v/>
      </c>
      <c r="G35" s="11">
        <f>IF(F35&gt;Settings!$B$8,"Yes","No")</f>
        <v/>
      </c>
      <c r="H35" s="14">
        <f>IF(A35="Industry",IF(G35="Yes",Settings!$B$5,Settings!$B$4),IF(G35="Yes",Settings!$B$7,Settings!$B$6))</f>
        <v/>
      </c>
      <c r="I35" s="19">
        <f>H35-D35</f>
        <v/>
      </c>
      <c r="J35" s="20">
        <f>IF(H35&gt;0,D35/H35,0)</f>
        <v/>
      </c>
      <c r="K35" s="11">
        <f>IF(J35&gt;1,"Breach",IF(J35&gt;=Settings!$B$9,"Watch","Within"))</f>
        <v/>
      </c>
    </row>
    <row r="36">
      <c r="A36" s="6" t="inlineStr">
        <is>
          <t>State</t>
        </is>
      </c>
      <c r="B36" s="6" t="inlineStr">
        <is>
          <t>MI</t>
        </is>
      </c>
      <c r="C36" s="16" t="n">
        <v>13450</v>
      </c>
      <c r="D36" s="17" t="n">
        <v>0.0238</v>
      </c>
      <c r="E36" s="17" t="n">
        <v>0.033</v>
      </c>
      <c r="F36" s="18">
        <f>IF(D36&gt;0,E36/D36,0)</f>
        <v/>
      </c>
      <c r="G36" s="11">
        <f>IF(F36&gt;Settings!$B$8,"Yes","No")</f>
        <v/>
      </c>
      <c r="H36" s="14">
        <f>IF(A36="Industry",IF(G36="Yes",Settings!$B$5,Settings!$B$4),IF(G36="Yes",Settings!$B$7,Settings!$B$6))</f>
        <v/>
      </c>
      <c r="I36" s="19">
        <f>H36-D36</f>
        <v/>
      </c>
      <c r="J36" s="20">
        <f>IF(H36&gt;0,D36/H36,0)</f>
        <v/>
      </c>
      <c r="K36" s="11">
        <f>IF(J36&gt;1,"Breach",IF(J36&gt;=Settings!$B$9,"Watch","Within"))</f>
        <v/>
      </c>
    </row>
    <row r="37">
      <c r="A37" s="6" t="inlineStr">
        <is>
          <t>State</t>
        </is>
      </c>
      <c r="B37" s="6" t="inlineStr">
        <is>
          <t>WI</t>
        </is>
      </c>
      <c r="C37" s="16" t="n">
        <v>11161</v>
      </c>
      <c r="D37" s="17" t="n">
        <v>0.0237</v>
      </c>
      <c r="E37" s="17" t="n">
        <v>0.0193</v>
      </c>
      <c r="F37" s="18">
        <f>IF(D37&gt;0,E37/D37,0)</f>
        <v/>
      </c>
      <c r="G37" s="11">
        <f>IF(F37&gt;Settings!$B$8,"Yes","No")</f>
        <v/>
      </c>
      <c r="H37" s="14">
        <f>IF(A37="Industry",IF(G37="Yes",Settings!$B$5,Settings!$B$4),IF(G37="Yes",Settings!$B$7,Settings!$B$6))</f>
        <v/>
      </c>
      <c r="I37" s="19">
        <f>H37-D37</f>
        <v/>
      </c>
      <c r="J37" s="20">
        <f>IF(H37&gt;0,D37/H37,0)</f>
        <v/>
      </c>
      <c r="K37" s="11">
        <f>IF(J37&gt;1,"Breach",IF(J37&gt;=Settings!$B$9,"Watch","Within"))</f>
        <v/>
      </c>
    </row>
    <row r="38">
      <c r="A38" s="6" t="inlineStr">
        <is>
          <t>State</t>
        </is>
      </c>
      <c r="B38" s="6" t="inlineStr">
        <is>
          <t>MA</t>
        </is>
      </c>
      <c r="C38" s="16" t="n">
        <v>15851</v>
      </c>
      <c r="D38" s="17" t="n">
        <v>0.0204</v>
      </c>
      <c r="E38" s="17" t="n">
        <v>0.0167</v>
      </c>
      <c r="F38" s="18">
        <f>IF(D38&gt;0,E38/D38,0)</f>
        <v/>
      </c>
      <c r="G38" s="11">
        <f>IF(F38&gt;Settings!$B$8,"Yes","No")</f>
        <v/>
      </c>
      <c r="H38" s="14">
        <f>IF(A38="Industry",IF(G38="Yes",Settings!$B$5,Settings!$B$4),IF(G38="Yes",Settings!$B$7,Settings!$B$6))</f>
        <v/>
      </c>
      <c r="I38" s="19">
        <f>H38-D38</f>
        <v/>
      </c>
      <c r="J38" s="20">
        <f>IF(H38&gt;0,D38/H38,0)</f>
        <v/>
      </c>
      <c r="K38" s="11">
        <f>IF(J38&gt;1,"Breach",IF(J38&gt;=Settings!$B$9,"Watch","Within"))</f>
        <v/>
      </c>
    </row>
    <row r="39">
      <c r="A39" s="6" t="inlineStr">
        <is>
          <t>State</t>
        </is>
      </c>
      <c r="B39" s="6" t="inlineStr">
        <is>
          <t>UT</t>
        </is>
      </c>
      <c r="C39" s="16" t="n">
        <v>12153</v>
      </c>
      <c r="D39" s="17" t="n">
        <v>0.0178</v>
      </c>
      <c r="E39" s="17" t="n">
        <v>0.0177</v>
      </c>
      <c r="F39" s="18">
        <f>IF(D39&gt;0,E39/D39,0)</f>
        <v/>
      </c>
      <c r="G39" s="11">
        <f>IF(F39&gt;Settings!$B$8,"Yes","No")</f>
        <v/>
      </c>
      <c r="H39" s="14">
        <f>IF(A39="Industry",IF(G39="Yes",Settings!$B$5,Settings!$B$4),IF(G39="Yes",Settings!$B$7,Settings!$B$6))</f>
        <v/>
      </c>
      <c r="I39" s="19">
        <f>H39-D39</f>
        <v/>
      </c>
      <c r="J39" s="20">
        <f>IF(H39&gt;0,D39/H39,0)</f>
        <v/>
      </c>
      <c r="K39" s="11">
        <f>IF(J39&gt;1,"Breach",IF(J39&gt;=Settings!$B$9,"Watch","Within"))</f>
        <v/>
      </c>
    </row>
    <row r="40">
      <c r="A40" s="6" t="inlineStr">
        <is>
          <t>State</t>
        </is>
      </c>
      <c r="B40" s="6" t="inlineStr">
        <is>
          <t>MO</t>
        </is>
      </c>
      <c r="C40" s="16" t="n">
        <v>9584</v>
      </c>
      <c r="D40" s="17" t="n">
        <v>0.0166</v>
      </c>
      <c r="E40" s="17" t="n">
        <v>0.018</v>
      </c>
      <c r="F40" s="18">
        <f>IF(D40&gt;0,E40/D40,0)</f>
        <v/>
      </c>
      <c r="G40" s="11">
        <f>IF(F40&gt;Settings!$B$8,"Yes","No")</f>
        <v/>
      </c>
      <c r="H40" s="14">
        <f>IF(A40="Industry",IF(G40="Yes",Settings!$B$5,Settings!$B$4),IF(G40="Yes",Settings!$B$7,Settings!$B$6))</f>
        <v/>
      </c>
      <c r="I40" s="19">
        <f>H40-D40</f>
        <v/>
      </c>
      <c r="J40" s="20">
        <f>IF(H40&gt;0,D40/H40,0)</f>
        <v/>
      </c>
      <c r="K40" s="11">
        <f>IF(J40&gt;1,"Breach",IF(J40&gt;=Settings!$B$9,"Watch","Within"))</f>
        <v/>
      </c>
    </row>
    <row r="41">
      <c r="A41" s="6" t="inlineStr">
        <is>
          <t>State</t>
        </is>
      </c>
      <c r="B41" s="6" t="inlineStr">
        <is>
          <t>IN</t>
        </is>
      </c>
      <c r="C41" s="16" t="n">
        <v>8905</v>
      </c>
      <c r="D41" s="17" t="n">
        <v>0.0165</v>
      </c>
      <c r="E41" s="17" t="n">
        <v>0.0169</v>
      </c>
      <c r="F41" s="18">
        <f>IF(D41&gt;0,E41/D41,0)</f>
        <v/>
      </c>
      <c r="G41" s="11">
        <f>IF(F41&gt;Settings!$B$8,"Yes","No")</f>
        <v/>
      </c>
      <c r="H41" s="14">
        <f>IF(A41="Industry",IF(G41="Yes",Settings!$B$5,Settings!$B$4),IF(G41="Yes",Settings!$B$7,Settings!$B$6))</f>
        <v/>
      </c>
      <c r="I41" s="19">
        <f>H41-D41</f>
        <v/>
      </c>
      <c r="J41" s="20">
        <f>IF(H41&gt;0,D41/H41,0)</f>
        <v/>
      </c>
      <c r="K41" s="11">
        <f>IF(J41&gt;1,"Breach",IF(J41&gt;=Settings!$B$9,"Watch","Within"))</f>
        <v/>
      </c>
    </row>
    <row r="42">
      <c r="A42" s="6" t="inlineStr">
        <is>
          <t>State</t>
        </is>
      </c>
      <c r="B42" s="6" t="inlineStr">
        <is>
          <t>VA</t>
        </is>
      </c>
      <c r="C42" s="16" t="n">
        <v>7987</v>
      </c>
      <c r="D42" s="17" t="n">
        <v>0.0165</v>
      </c>
      <c r="E42" s="17" t="n">
        <v>0.0175</v>
      </c>
      <c r="F42" s="18">
        <f>IF(D42&gt;0,E42/D42,0)</f>
        <v/>
      </c>
      <c r="G42" s="11">
        <f>IF(F42&gt;Settings!$B$8,"Yes","No")</f>
        <v/>
      </c>
      <c r="H42" s="14">
        <f>IF(A42="Industry",IF(G42="Yes",Settings!$B$5,Settings!$B$4),IF(G42="Yes",Settings!$B$7,Settings!$B$6))</f>
        <v/>
      </c>
      <c r="I42" s="19">
        <f>H42-D42</f>
        <v/>
      </c>
      <c r="J42" s="20">
        <f>IF(H42&gt;0,D42/H42,0)</f>
        <v/>
      </c>
      <c r="K42" s="11">
        <f>IF(J42&gt;1,"Breach",IF(J42&gt;=Settings!$B$9,"Watch","Within"))</f>
        <v/>
      </c>
    </row>
    <row r="43">
      <c r="A43" s="6" t="inlineStr">
        <is>
          <t>State</t>
        </is>
      </c>
      <c r="B43" s="6" t="inlineStr">
        <is>
          <t>NC</t>
        </is>
      </c>
      <c r="C43" s="16" t="n">
        <v>8420</v>
      </c>
      <c r="D43" s="17" t="n">
        <v>0.0161</v>
      </c>
      <c r="E43" s="17" t="n">
        <v>0.0161</v>
      </c>
      <c r="F43" s="18">
        <f>IF(D43&gt;0,E43/D43,0)</f>
        <v/>
      </c>
      <c r="G43" s="11">
        <f>IF(F43&gt;Settings!$B$8,"Yes","No")</f>
        <v/>
      </c>
      <c r="H43" s="14">
        <f>IF(A43="Industry",IF(G43="Yes",Settings!$B$5,Settings!$B$4),IF(G43="Yes",Settings!$B$7,Settings!$B$6))</f>
        <v/>
      </c>
      <c r="I43" s="19">
        <f>H43-D43</f>
        <v/>
      </c>
      <c r="J43" s="20">
        <f>IF(H43&gt;0,D43/H43,0)</f>
        <v/>
      </c>
      <c r="K43" s="11">
        <f>IF(J43&gt;1,"Breach",IF(J43&gt;=Settings!$B$9,"Watch","Within"))</f>
        <v/>
      </c>
    </row>
    <row r="44">
      <c r="A44" s="6" t="inlineStr">
        <is>
          <t>State</t>
        </is>
      </c>
      <c r="B44" s="6" t="inlineStr">
        <is>
          <t>MD</t>
        </is>
      </c>
      <c r="C44" s="16" t="n">
        <v>8259</v>
      </c>
      <c r="D44" s="17" t="n">
        <v>0.0134</v>
      </c>
      <c r="E44" s="17" t="n">
        <v>0.0132</v>
      </c>
      <c r="F44" s="18">
        <f>IF(D44&gt;0,E44/D44,0)</f>
        <v/>
      </c>
      <c r="G44" s="11">
        <f>IF(F44&gt;Settings!$B$8,"Yes","No")</f>
        <v/>
      </c>
      <c r="H44" s="14">
        <f>IF(A44="Industry",IF(G44="Yes",Settings!$B$5,Settings!$B$4),IF(G44="Yes",Settings!$B$7,Settings!$B$6))</f>
        <v/>
      </c>
      <c r="I44" s="19">
        <f>H44-D44</f>
        <v/>
      </c>
      <c r="J44" s="20">
        <f>IF(H44&gt;0,D44/H44,0)</f>
        <v/>
      </c>
      <c r="K44" s="11">
        <f>IF(J44&gt;1,"Breach",IF(J44&gt;=Settings!$B$9,"Watch","Within"))</f>
        <v/>
      </c>
    </row>
    <row r="45">
      <c r="A45" s="6" t="inlineStr">
        <is>
          <t>State</t>
        </is>
      </c>
      <c r="B45" s="6" t="inlineStr">
        <is>
          <t>OR</t>
        </is>
      </c>
      <c r="C45" s="16" t="n">
        <v>6426</v>
      </c>
      <c r="D45" s="17" t="n">
        <v>0.0124</v>
      </c>
      <c r="E45" s="17" t="n">
        <v>0.0095</v>
      </c>
      <c r="F45" s="18">
        <f>IF(D45&gt;0,E45/D45,0)</f>
        <v/>
      </c>
      <c r="G45" s="11">
        <f>IF(F45&gt;Settings!$B$8,"Yes","No")</f>
        <v/>
      </c>
      <c r="H45" s="14">
        <f>IF(A45="Industry",IF(G45="Yes",Settings!$B$5,Settings!$B$4),IF(G45="Yes",Settings!$B$7,Settings!$B$6))</f>
        <v/>
      </c>
      <c r="I45" s="19">
        <f>H45-D45</f>
        <v/>
      </c>
      <c r="J45" s="20">
        <f>IF(H45&gt;0,D45/H45,0)</f>
        <v/>
      </c>
      <c r="K45" s="11">
        <f>IF(J45&gt;1,"Breach",IF(J45&gt;=Settings!$B$9,"Watch","Within"))</f>
        <v/>
      </c>
    </row>
    <row r="46">
      <c r="A46" s="6" t="inlineStr">
        <is>
          <t>State</t>
        </is>
      </c>
      <c r="B46" s="6" t="inlineStr">
        <is>
          <t>CT</t>
        </is>
      </c>
      <c r="C46" s="16" t="n">
        <v>7261</v>
      </c>
      <c r="D46" s="17" t="n">
        <v>0.0112</v>
      </c>
      <c r="E46" s="17" t="n">
        <v>0.0109</v>
      </c>
      <c r="F46" s="18">
        <f>IF(D46&gt;0,E46/D46,0)</f>
        <v/>
      </c>
      <c r="G46" s="11">
        <f>IF(F46&gt;Settings!$B$8,"Yes","No")</f>
        <v/>
      </c>
      <c r="H46" s="14">
        <f>IF(A46="Industry",IF(G46="Yes",Settings!$B$5,Settings!$B$4),IF(G46="Yes",Settings!$B$7,Settings!$B$6))</f>
        <v/>
      </c>
      <c r="I46" s="19">
        <f>H46-D46</f>
        <v/>
      </c>
      <c r="J46" s="20">
        <f>IF(H46&gt;0,D46/H46,0)</f>
        <v/>
      </c>
      <c r="K46" s="11">
        <f>IF(J46&gt;1,"Breach",IF(J46&gt;=Settings!$B$9,"Watch","Within"))</f>
        <v/>
      </c>
    </row>
    <row r="47">
      <c r="A47" s="6" t="inlineStr">
        <is>
          <t>State</t>
        </is>
      </c>
      <c r="B47" s="6" t="inlineStr">
        <is>
          <t>NV</t>
        </is>
      </c>
      <c r="C47" s="16" t="n">
        <v>4703</v>
      </c>
      <c r="D47" s="17" t="n">
        <v>0.0107</v>
      </c>
      <c r="E47" s="17" t="n">
        <v>0.0149</v>
      </c>
      <c r="F47" s="18">
        <f>IF(D47&gt;0,E47/D47,0)</f>
        <v/>
      </c>
      <c r="G47" s="11">
        <f>IF(F47&gt;Settings!$B$8,"Yes","No")</f>
        <v/>
      </c>
      <c r="H47" s="14">
        <f>IF(A47="Industry",IF(G47="Yes",Settings!$B$5,Settings!$B$4),IF(G47="Yes",Settings!$B$7,Settings!$B$6))</f>
        <v/>
      </c>
      <c r="I47" s="19">
        <f>H47-D47</f>
        <v/>
      </c>
      <c r="J47" s="20">
        <f>IF(H47&gt;0,D47/H47,0)</f>
        <v/>
      </c>
      <c r="K47" s="11">
        <f>IF(J47&gt;1,"Breach",IF(J47&gt;=Settings!$B$9,"Watch","Within"))</f>
        <v/>
      </c>
    </row>
    <row r="48">
      <c r="A48" s="6" t="inlineStr">
        <is>
          <t>State</t>
        </is>
      </c>
      <c r="B48" s="6" t="inlineStr">
        <is>
          <t>OK</t>
        </is>
      </c>
      <c r="C48" s="16" t="n">
        <v>4989</v>
      </c>
      <c r="D48" s="17" t="n">
        <v>0.0104</v>
      </c>
      <c r="E48" s="17" t="n">
        <v>0.008500000000000001</v>
      </c>
      <c r="F48" s="18">
        <f>IF(D48&gt;0,E48/D48,0)</f>
        <v/>
      </c>
      <c r="G48" s="11">
        <f>IF(F48&gt;Settings!$B$8,"Yes","No")</f>
        <v/>
      </c>
      <c r="H48" s="14">
        <f>IF(A48="Industry",IF(G48="Yes",Settings!$B$5,Settings!$B$4),IF(G48="Yes",Settings!$B$7,Settings!$B$6))</f>
        <v/>
      </c>
      <c r="I48" s="19">
        <f>H48-D48</f>
        <v/>
      </c>
      <c r="J48" s="20">
        <f>IF(H48&gt;0,D48/H48,0)</f>
        <v/>
      </c>
      <c r="K48" s="11">
        <f>IF(J48&gt;1,"Breach",IF(J48&gt;=Settings!$B$9,"Watch","Within"))</f>
        <v/>
      </c>
    </row>
    <row r="49">
      <c r="A49" s="6" t="inlineStr">
        <is>
          <t>State</t>
        </is>
      </c>
      <c r="B49" s="6" t="inlineStr">
        <is>
          <t>IA</t>
        </is>
      </c>
      <c r="C49" s="16" t="n">
        <v>4583</v>
      </c>
      <c r="D49" s="17" t="n">
        <v>0.0098</v>
      </c>
      <c r="E49" s="17" t="n">
        <v>0.0095</v>
      </c>
      <c r="F49" s="18">
        <f>IF(D49&gt;0,E49/D49,0)</f>
        <v/>
      </c>
      <c r="G49" s="11">
        <f>IF(F49&gt;Settings!$B$8,"Yes","No")</f>
        <v/>
      </c>
      <c r="H49" s="14">
        <f>IF(A49="Industry",IF(G49="Yes",Settings!$B$5,Settings!$B$4),IF(G49="Yes",Settings!$B$7,Settings!$B$6))</f>
        <v/>
      </c>
      <c r="I49" s="19">
        <f>H49-D49</f>
        <v/>
      </c>
      <c r="J49" s="20">
        <f>IF(H49&gt;0,D49/H49,0)</f>
        <v/>
      </c>
      <c r="K49" s="11">
        <f>IF(J49&gt;1,"Breach",IF(J49&gt;=Settings!$B$9,"Watch","Within"))</f>
        <v/>
      </c>
    </row>
    <row r="50">
      <c r="A50" s="6" t="inlineStr">
        <is>
          <t>State</t>
        </is>
      </c>
      <c r="B50" s="6" t="inlineStr">
        <is>
          <t>TN</t>
        </is>
      </c>
      <c r="C50" s="16" t="n">
        <v>5016</v>
      </c>
      <c r="D50" s="17" t="n">
        <v>0.009599999999999999</v>
      </c>
      <c r="E50" s="17" t="n">
        <v>0.0101</v>
      </c>
      <c r="F50" s="18">
        <f>IF(D50&gt;0,E50/D50,0)</f>
        <v/>
      </c>
      <c r="G50" s="11">
        <f>IF(F50&gt;Settings!$B$8,"Yes","No")</f>
        <v/>
      </c>
      <c r="H50" s="14">
        <f>IF(A50="Industry",IF(G50="Yes",Settings!$B$5,Settings!$B$4),IF(G50="Yes",Settings!$B$7,Settings!$B$6))</f>
        <v/>
      </c>
      <c r="I50" s="19">
        <f>H50-D50</f>
        <v/>
      </c>
      <c r="J50" s="20">
        <f>IF(H50&gt;0,D50/H50,0)</f>
        <v/>
      </c>
      <c r="K50" s="11">
        <f>IF(J50&gt;1,"Breach",IF(J50&gt;=Settings!$B$9,"Watch","Within"))</f>
        <v/>
      </c>
    </row>
    <row r="51">
      <c r="A51" s="6" t="inlineStr">
        <is>
          <t>State</t>
        </is>
      </c>
      <c r="B51" s="6" t="inlineStr">
        <is>
          <t>LA</t>
        </is>
      </c>
      <c r="C51" s="16" t="n">
        <v>4785</v>
      </c>
      <c r="D51" s="17" t="n">
        <v>0.008199999999999999</v>
      </c>
      <c r="E51" s="17" t="n">
        <v>0.008500000000000001</v>
      </c>
      <c r="F51" s="18">
        <f>IF(D51&gt;0,E51/D51,0)</f>
        <v/>
      </c>
      <c r="G51" s="11">
        <f>IF(F51&gt;Settings!$B$8,"Yes","No")</f>
        <v/>
      </c>
      <c r="H51" s="14">
        <f>IF(A51="Industry",IF(G51="Yes",Settings!$B$5,Settings!$B$4),IF(G51="Yes",Settings!$B$7,Settings!$B$6))</f>
        <v/>
      </c>
      <c r="I51" s="19">
        <f>H51-D51</f>
        <v/>
      </c>
      <c r="J51" s="20">
        <f>IF(H51&gt;0,D51/H51,0)</f>
        <v/>
      </c>
      <c r="K51" s="11">
        <f>IF(J51&gt;1,"Breach",IF(J51&gt;=Settings!$B$9,"Watch","Within"))</f>
        <v/>
      </c>
    </row>
    <row r="52">
      <c r="A52" s="6" t="inlineStr">
        <is>
          <t>State</t>
        </is>
      </c>
      <c r="B52" s="6" t="inlineStr">
        <is>
          <t>KS</t>
        </is>
      </c>
      <c r="C52" s="16" t="n">
        <v>4657</v>
      </c>
      <c r="D52" s="17" t="n">
        <v>0.008199999999999999</v>
      </c>
      <c r="E52" s="17" t="n">
        <v>0.0075</v>
      </c>
      <c r="F52" s="18">
        <f>IF(D52&gt;0,E52/D52,0)</f>
        <v/>
      </c>
      <c r="G52" s="11">
        <f>IF(F52&gt;Settings!$B$8,"Yes","No")</f>
        <v/>
      </c>
      <c r="H52" s="14">
        <f>IF(A52="Industry",IF(G52="Yes",Settings!$B$5,Settings!$B$4),IF(G52="Yes",Settings!$B$7,Settings!$B$6))</f>
        <v/>
      </c>
      <c r="I52" s="19">
        <f>H52-D52</f>
        <v/>
      </c>
      <c r="J52" s="20">
        <f>IF(H52&gt;0,D52/H52,0)</f>
        <v/>
      </c>
      <c r="K52" s="11">
        <f>IF(J52&gt;1,"Breach",IF(J52&gt;=Settings!$B$9,"Watch","Within"))</f>
        <v/>
      </c>
    </row>
    <row r="53">
      <c r="A53" s="6" t="inlineStr">
        <is>
          <t>State</t>
        </is>
      </c>
      <c r="B53" s="6" t="inlineStr">
        <is>
          <t>ID</t>
        </is>
      </c>
      <c r="C53" s="16" t="n">
        <v>5092</v>
      </c>
      <c r="D53" s="17" t="n">
        <v>0.008100000000000001</v>
      </c>
      <c r="E53" s="17" t="n">
        <v>0.007800000000000001</v>
      </c>
      <c r="F53" s="18">
        <f>IF(D53&gt;0,E53/D53,0)</f>
        <v/>
      </c>
      <c r="G53" s="11">
        <f>IF(F53&gt;Settings!$B$8,"Yes","No")</f>
        <v/>
      </c>
      <c r="H53" s="14">
        <f>IF(A53="Industry",IF(G53="Yes",Settings!$B$5,Settings!$B$4),IF(G53="Yes",Settings!$B$7,Settings!$B$6))</f>
        <v/>
      </c>
      <c r="I53" s="19">
        <f>H53-D53</f>
        <v/>
      </c>
      <c r="J53" s="20">
        <f>IF(H53&gt;0,D53/H53,0)</f>
        <v/>
      </c>
      <c r="K53" s="11">
        <f>IF(J53&gt;1,"Breach",IF(J53&gt;=Settings!$B$9,"Watch","Within"))</f>
        <v/>
      </c>
    </row>
    <row r="54">
      <c r="A54" s="6" t="inlineStr">
        <is>
          <t>State</t>
        </is>
      </c>
      <c r="B54" s="6" t="inlineStr">
        <is>
          <t>MS</t>
        </is>
      </c>
      <c r="C54" s="16" t="n">
        <v>3857</v>
      </c>
      <c r="D54" s="17" t="n">
        <v>0.008</v>
      </c>
      <c r="E54" s="17" t="n">
        <v>0.007800000000000001</v>
      </c>
      <c r="F54" s="18">
        <f>IF(D54&gt;0,E54/D54,0)</f>
        <v/>
      </c>
      <c r="G54" s="11">
        <f>IF(F54&gt;Settings!$B$8,"Yes","No")</f>
        <v/>
      </c>
      <c r="H54" s="14">
        <f>IF(A54="Industry",IF(G54="Yes",Settings!$B$5,Settings!$B$4),IF(G54="Yes",Settings!$B$7,Settings!$B$6))</f>
        <v/>
      </c>
      <c r="I54" s="19">
        <f>H54-D54</f>
        <v/>
      </c>
      <c r="J54" s="20">
        <f>IF(H54&gt;0,D54/H54,0)</f>
        <v/>
      </c>
      <c r="K54" s="11">
        <f>IF(J54&gt;1,"Breach",IF(J54&gt;=Settings!$B$9,"Watch","Within"))</f>
        <v/>
      </c>
    </row>
    <row r="55">
      <c r="A55" s="6" t="inlineStr">
        <is>
          <t>State</t>
        </is>
      </c>
      <c r="B55" s="6" t="inlineStr">
        <is>
          <t>NH</t>
        </is>
      </c>
      <c r="C55" s="16" t="n">
        <v>7009</v>
      </c>
      <c r="D55" s="17" t="n">
        <v>0.007900000000000001</v>
      </c>
      <c r="E55" s="17" t="n">
        <v>0.0054</v>
      </c>
      <c r="F55" s="18">
        <f>IF(D55&gt;0,E55/D55,0)</f>
        <v/>
      </c>
      <c r="G55" s="11">
        <f>IF(F55&gt;Settings!$B$8,"Yes","No")</f>
        <v/>
      </c>
      <c r="H55" s="14">
        <f>IF(A55="Industry",IF(G55="Yes",Settings!$B$5,Settings!$B$4),IF(G55="Yes",Settings!$B$7,Settings!$B$6))</f>
        <v/>
      </c>
      <c r="I55" s="19">
        <f>H55-D55</f>
        <v/>
      </c>
      <c r="J55" s="20">
        <f>IF(H55&gt;0,D55/H55,0)</f>
        <v/>
      </c>
      <c r="K55" s="11">
        <f>IF(J55&gt;1,"Breach",IF(J55&gt;=Settings!$B$9,"Watch","Within"))</f>
        <v/>
      </c>
    </row>
    <row r="56">
      <c r="A56" s="6" t="inlineStr">
        <is>
          <t>State</t>
        </is>
      </c>
      <c r="B56" s="6" t="inlineStr">
        <is>
          <t>KY</t>
        </is>
      </c>
      <c r="C56" s="16" t="n">
        <v>4280</v>
      </c>
      <c r="D56" s="17" t="n">
        <v>0.0072</v>
      </c>
      <c r="E56" s="17" t="n">
        <v>0.008500000000000001</v>
      </c>
      <c r="F56" s="18">
        <f>IF(D56&gt;0,E56/D56,0)</f>
        <v/>
      </c>
      <c r="G56" s="11">
        <f>IF(F56&gt;Settings!$B$8,"Yes","No")</f>
        <v/>
      </c>
      <c r="H56" s="14">
        <f>IF(A56="Industry",IF(G56="Yes",Settings!$B$5,Settings!$B$4),IF(G56="Yes",Settings!$B$7,Settings!$B$6))</f>
        <v/>
      </c>
      <c r="I56" s="19">
        <f>H56-D56</f>
        <v/>
      </c>
      <c r="J56" s="20">
        <f>IF(H56&gt;0,D56/H56,0)</f>
        <v/>
      </c>
      <c r="K56" s="11">
        <f>IF(J56&gt;1,"Breach",IF(J56&gt;=Settings!$B$9,"Watch","Within"))</f>
        <v/>
      </c>
    </row>
    <row r="57">
      <c r="A57" s="6" t="inlineStr">
        <is>
          <t>State</t>
        </is>
      </c>
      <c r="B57" s="6" t="inlineStr">
        <is>
          <t>AL</t>
        </is>
      </c>
      <c r="C57" s="16" t="n">
        <v>3148</v>
      </c>
      <c r="D57" s="17" t="n">
        <v>0.0072</v>
      </c>
      <c r="E57" s="17" t="n">
        <v>0.006999999999999999</v>
      </c>
      <c r="F57" s="18">
        <f>IF(D57&gt;0,E57/D57,0)</f>
        <v/>
      </c>
      <c r="G57" s="11">
        <f>IF(F57&gt;Settings!$B$8,"Yes","No")</f>
        <v/>
      </c>
      <c r="H57" s="14">
        <f>IF(A57="Industry",IF(G57="Yes",Settings!$B$5,Settings!$B$4),IF(G57="Yes",Settings!$B$7,Settings!$B$6))</f>
        <v/>
      </c>
      <c r="I57" s="19">
        <f>H57-D57</f>
        <v/>
      </c>
      <c r="J57" s="20">
        <f>IF(H57&gt;0,D57/H57,0)</f>
        <v/>
      </c>
      <c r="K57" s="11">
        <f>IF(J57&gt;1,"Breach",IF(J57&gt;=Settings!$B$9,"Watch","Within"))</f>
        <v/>
      </c>
    </row>
    <row r="58">
      <c r="A58" s="6" t="inlineStr">
        <is>
          <t>State</t>
        </is>
      </c>
      <c r="B58" s="6" t="inlineStr">
        <is>
          <t>SC</t>
        </is>
      </c>
      <c r="C58" s="16" t="n">
        <v>3255</v>
      </c>
      <c r="D58" s="17" t="n">
        <v>0.0069</v>
      </c>
      <c r="E58" s="17" t="n">
        <v>0.0069</v>
      </c>
      <c r="F58" s="18">
        <f>IF(D58&gt;0,E58/D58,0)</f>
        <v/>
      </c>
      <c r="G58" s="11">
        <f>IF(F58&gt;Settings!$B$8,"Yes","No")</f>
        <v/>
      </c>
      <c r="H58" s="14">
        <f>IF(A58="Industry",IF(G58="Yes",Settings!$B$5,Settings!$B$4),IF(G58="Yes",Settings!$B$7,Settings!$B$6))</f>
        <v/>
      </c>
      <c r="I58" s="19">
        <f>H58-D58</f>
        <v/>
      </c>
      <c r="J58" s="20">
        <f>IF(H58&gt;0,D58/H58,0)</f>
        <v/>
      </c>
      <c r="K58" s="11">
        <f>IF(J58&gt;1,"Breach",IF(J58&gt;=Settings!$B$9,"Watch","Within"))</f>
        <v/>
      </c>
    </row>
    <row r="59">
      <c r="A59" s="6" t="inlineStr">
        <is>
          <t>State</t>
        </is>
      </c>
      <c r="B59" s="6" t="inlineStr">
        <is>
          <t>NE</t>
        </is>
      </c>
      <c r="C59" s="16" t="n">
        <v>3187</v>
      </c>
      <c r="D59" s="17" t="n">
        <v>0.0061</v>
      </c>
      <c r="E59" s="17" t="n">
        <v>0.005</v>
      </c>
      <c r="F59" s="18">
        <f>IF(D59&gt;0,E59/D59,0)</f>
        <v/>
      </c>
      <c r="G59" s="11">
        <f>IF(F59&gt;Settings!$B$8,"Yes","No")</f>
        <v/>
      </c>
      <c r="H59" s="14">
        <f>IF(A59="Industry",IF(G59="Yes",Settings!$B$5,Settings!$B$4),IF(G59="Yes",Settings!$B$7,Settings!$B$6))</f>
        <v/>
      </c>
      <c r="I59" s="19">
        <f>H59-D59</f>
        <v/>
      </c>
      <c r="J59" s="20">
        <f>IF(H59&gt;0,D59/H59,0)</f>
        <v/>
      </c>
      <c r="K59" s="11">
        <f>IF(J59&gt;1,"Breach",IF(J59&gt;=Settings!$B$9,"Watch","Within"))</f>
        <v/>
      </c>
    </row>
    <row r="60">
      <c r="A60" s="6" t="inlineStr">
        <is>
          <t>State</t>
        </is>
      </c>
      <c r="B60" s="6" t="inlineStr">
        <is>
          <t>AR</t>
        </is>
      </c>
      <c r="C60" s="16" t="n">
        <v>2649</v>
      </c>
      <c r="D60" s="17" t="n">
        <v>0.006</v>
      </c>
      <c r="E60" s="17" t="n">
        <v>0.0063</v>
      </c>
      <c r="F60" s="18">
        <f>IF(D60&gt;0,E60/D60,0)</f>
        <v/>
      </c>
      <c r="G60" s="11">
        <f>IF(F60&gt;Settings!$B$8,"Yes","No")</f>
        <v/>
      </c>
      <c r="H60" s="14">
        <f>IF(A60="Industry",IF(G60="Yes",Settings!$B$5,Settings!$B$4),IF(G60="Yes",Settings!$B$7,Settings!$B$6))</f>
        <v/>
      </c>
      <c r="I60" s="19">
        <f>H60-D60</f>
        <v/>
      </c>
      <c r="J60" s="20">
        <f>IF(H60&gt;0,D60/H60,0)</f>
        <v/>
      </c>
      <c r="K60" s="11">
        <f>IF(J60&gt;1,"Breach",IF(J60&gt;=Settings!$B$9,"Watch","Within"))</f>
        <v/>
      </c>
    </row>
    <row r="61">
      <c r="A61" s="6" t="inlineStr">
        <is>
          <t>State</t>
        </is>
      </c>
      <c r="B61" s="6" t="inlineStr">
        <is>
          <t>RI</t>
        </is>
      </c>
      <c r="C61" s="16" t="n">
        <v>5467</v>
      </c>
      <c r="D61" s="17" t="n">
        <v>0.006</v>
      </c>
      <c r="E61" s="17" t="n">
        <v>0.004500000000000001</v>
      </c>
      <c r="F61" s="18">
        <f>IF(D61&gt;0,E61/D61,0)</f>
        <v/>
      </c>
      <c r="G61" s="11">
        <f>IF(F61&gt;Settings!$B$8,"Yes","No")</f>
        <v/>
      </c>
      <c r="H61" s="14">
        <f>IF(A61="Industry",IF(G61="Yes",Settings!$B$5,Settings!$B$4),IF(G61="Yes",Settings!$B$7,Settings!$B$6))</f>
        <v/>
      </c>
      <c r="I61" s="19">
        <f>H61-D61</f>
        <v/>
      </c>
      <c r="J61" s="20">
        <f>IF(H61&gt;0,D61/H61,0)</f>
        <v/>
      </c>
      <c r="K61" s="11">
        <f>IF(J61&gt;1,"Breach",IF(J61&gt;=Settings!$B$9,"Watch","Within"))</f>
        <v/>
      </c>
    </row>
    <row r="62">
      <c r="A62" s="6" t="inlineStr">
        <is>
          <t>State</t>
        </is>
      </c>
      <c r="B62" s="6" t="inlineStr">
        <is>
          <t>MT</t>
        </is>
      </c>
      <c r="C62" s="16" t="n">
        <v>3144</v>
      </c>
      <c r="D62" s="17" t="n">
        <v>0.0054</v>
      </c>
      <c r="E62" s="17" t="n">
        <v>0.0022</v>
      </c>
      <c r="F62" s="18">
        <f>IF(D62&gt;0,E62/D62,0)</f>
        <v/>
      </c>
      <c r="G62" s="11">
        <f>IF(F62&gt;Settings!$B$8,"Yes","No")</f>
        <v/>
      </c>
      <c r="H62" s="14">
        <f>IF(A62="Industry",IF(G62="Yes",Settings!$B$5,Settings!$B$4),IF(G62="Yes",Settings!$B$7,Settings!$B$6))</f>
        <v/>
      </c>
      <c r="I62" s="19">
        <f>H62-D62</f>
        <v/>
      </c>
      <c r="J62" s="20">
        <f>IF(H62&gt;0,D62/H62,0)</f>
        <v/>
      </c>
      <c r="K62" s="11">
        <f>IF(J62&gt;1,"Breach",IF(J62&gt;=Settings!$B$9,"Watch","Within"))</f>
        <v/>
      </c>
    </row>
    <row r="63">
      <c r="A63" s="6" t="inlineStr">
        <is>
          <t>State</t>
        </is>
      </c>
      <c r="B63" s="6" t="inlineStr">
        <is>
          <t>NM</t>
        </is>
      </c>
      <c r="C63" s="16" t="n">
        <v>2597</v>
      </c>
      <c r="D63" s="17" t="n">
        <v>0.0054</v>
      </c>
      <c r="E63" s="17" t="n">
        <v>0.0029</v>
      </c>
      <c r="F63" s="18">
        <f>IF(D63&gt;0,E63/D63,0)</f>
        <v/>
      </c>
      <c r="G63" s="11">
        <f>IF(F63&gt;Settings!$B$8,"Yes","No")</f>
        <v/>
      </c>
      <c r="H63" s="14">
        <f>IF(A63="Industry",IF(G63="Yes",Settings!$B$5,Settings!$B$4),IF(G63="Yes",Settings!$B$7,Settings!$B$6))</f>
        <v/>
      </c>
      <c r="I63" s="19">
        <f>H63-D63</f>
        <v/>
      </c>
      <c r="J63" s="20">
        <f>IF(H63&gt;0,D63/H63,0)</f>
        <v/>
      </c>
      <c r="K63" s="11">
        <f>IF(J63&gt;1,"Breach",IF(J63&gt;=Settings!$B$9,"Watch","Within"))</f>
        <v/>
      </c>
    </row>
    <row r="64">
      <c r="A64" s="6" t="inlineStr">
        <is>
          <t>State</t>
        </is>
      </c>
      <c r="B64" s="6" t="inlineStr">
        <is>
          <t>ND</t>
        </is>
      </c>
      <c r="C64" s="16" t="n">
        <v>2171</v>
      </c>
      <c r="D64" s="17" t="n">
        <v>0.0044</v>
      </c>
      <c r="E64" s="17" t="n">
        <v>0.0017</v>
      </c>
      <c r="F64" s="18">
        <f>IF(D64&gt;0,E64/D64,0)</f>
        <v/>
      </c>
      <c r="G64" s="11">
        <f>IF(F64&gt;Settings!$B$8,"Yes","No")</f>
        <v/>
      </c>
      <c r="H64" s="14">
        <f>IF(A64="Industry",IF(G64="Yes",Settings!$B$5,Settings!$B$4),IF(G64="Yes",Settings!$B$7,Settings!$B$6))</f>
        <v/>
      </c>
      <c r="I64" s="19">
        <f>H64-D64</f>
        <v/>
      </c>
      <c r="J64" s="20">
        <f>IF(H64&gt;0,D64/H64,0)</f>
        <v/>
      </c>
      <c r="K64" s="11">
        <f>IF(J64&gt;1,"Breach",IF(J64&gt;=Settings!$B$9,"Watch","Within"))</f>
        <v/>
      </c>
    </row>
    <row r="65">
      <c r="A65" s="6" t="inlineStr">
        <is>
          <t>State</t>
        </is>
      </c>
      <c r="B65" s="6" t="inlineStr">
        <is>
          <t>ME</t>
        </is>
      </c>
      <c r="C65" s="16" t="n">
        <v>3033</v>
      </c>
      <c r="D65" s="17" t="n">
        <v>0.0044</v>
      </c>
      <c r="E65" s="17" t="n">
        <v>0.0033</v>
      </c>
      <c r="F65" s="18">
        <f>IF(D65&gt;0,E65/D65,0)</f>
        <v/>
      </c>
      <c r="G65" s="11">
        <f>IF(F65&gt;Settings!$B$8,"Yes","No")</f>
        <v/>
      </c>
      <c r="H65" s="14">
        <f>IF(A65="Industry",IF(G65="Yes",Settings!$B$5,Settings!$B$4),IF(G65="Yes",Settings!$B$7,Settings!$B$6))</f>
        <v/>
      </c>
      <c r="I65" s="19">
        <f>H65-D65</f>
        <v/>
      </c>
      <c r="J65" s="20">
        <f>IF(H65&gt;0,D65/H65,0)</f>
        <v/>
      </c>
      <c r="K65" s="11">
        <f>IF(J65&gt;1,"Breach",IF(J65&gt;=Settings!$B$9,"Watch","Within"))</f>
        <v/>
      </c>
    </row>
    <row r="66">
      <c r="A66" s="6" t="inlineStr">
        <is>
          <t>State</t>
        </is>
      </c>
      <c r="B66" s="6" t="inlineStr">
        <is>
          <t>VT</t>
        </is>
      </c>
      <c r="C66" s="16" t="n">
        <v>1986</v>
      </c>
      <c r="D66" s="17" t="n">
        <v>0.0031</v>
      </c>
      <c r="E66" s="17" t="n">
        <v>0.0013</v>
      </c>
      <c r="F66" s="18">
        <f>IF(D66&gt;0,E66/D66,0)</f>
        <v/>
      </c>
      <c r="G66" s="11">
        <f>IF(F66&gt;Settings!$B$8,"Yes","No")</f>
        <v/>
      </c>
      <c r="H66" s="14">
        <f>IF(A66="Industry",IF(G66="Yes",Settings!$B$5,Settings!$B$4),IF(G66="Yes",Settings!$B$7,Settings!$B$6))</f>
        <v/>
      </c>
      <c r="I66" s="19">
        <f>H66-D66</f>
        <v/>
      </c>
      <c r="J66" s="20">
        <f>IF(H66&gt;0,D66/H66,0)</f>
        <v/>
      </c>
      <c r="K66" s="11">
        <f>IF(J66&gt;1,"Breach",IF(J66&gt;=Settings!$B$9,"Watch","Within"))</f>
        <v/>
      </c>
    </row>
    <row r="67">
      <c r="A67" s="6" t="inlineStr">
        <is>
          <t>State</t>
        </is>
      </c>
      <c r="B67" s="6" t="inlineStr">
        <is>
          <t>SD</t>
        </is>
      </c>
      <c r="C67" s="16" t="n">
        <v>1594</v>
      </c>
      <c r="D67" s="17" t="n">
        <v>0.0031</v>
      </c>
      <c r="E67" s="17" t="n">
        <v>0.0016</v>
      </c>
      <c r="F67" s="18">
        <f>IF(D67&gt;0,E67/D67,0)</f>
        <v/>
      </c>
      <c r="G67" s="11">
        <f>IF(F67&gt;Settings!$B$8,"Yes","No")</f>
        <v/>
      </c>
      <c r="H67" s="14">
        <f>IF(A67="Industry",IF(G67="Yes",Settings!$B$5,Settings!$B$4),IF(G67="Yes",Settings!$B$7,Settings!$B$6))</f>
        <v/>
      </c>
      <c r="I67" s="19">
        <f>H67-D67</f>
        <v/>
      </c>
      <c r="J67" s="20">
        <f>IF(H67&gt;0,D67/H67,0)</f>
        <v/>
      </c>
      <c r="K67" s="11">
        <f>IF(J67&gt;1,"Breach",IF(J67&gt;=Settings!$B$9,"Watch","Within"))</f>
        <v/>
      </c>
    </row>
    <row r="68">
      <c r="A68" s="6" t="inlineStr">
        <is>
          <t>State</t>
        </is>
      </c>
      <c r="B68" s="6" t="inlineStr">
        <is>
          <t>HI</t>
        </is>
      </c>
      <c r="C68" s="16" t="n">
        <v>2182</v>
      </c>
      <c r="D68" s="17" t="n">
        <v>0.0027</v>
      </c>
      <c r="E68" s="17" t="n">
        <v>0.0018</v>
      </c>
      <c r="F68" s="18">
        <f>IF(D68&gt;0,E68/D68,0)</f>
        <v/>
      </c>
      <c r="G68" s="11">
        <f>IF(F68&gt;Settings!$B$8,"Yes","No")</f>
        <v/>
      </c>
      <c r="H68" s="14">
        <f>IF(A68="Industry",IF(G68="Yes",Settings!$B$5,Settings!$B$4),IF(G68="Yes",Settings!$B$7,Settings!$B$6))</f>
        <v/>
      </c>
      <c r="I68" s="19">
        <f>H68-D68</f>
        <v/>
      </c>
      <c r="J68" s="20">
        <f>IF(H68&gt;0,D68/H68,0)</f>
        <v/>
      </c>
      <c r="K68" s="11">
        <f>IF(J68&gt;1,"Breach",IF(J68&gt;=Settings!$B$9,"Watch","Within"))</f>
        <v/>
      </c>
    </row>
    <row r="69">
      <c r="A69" s="6" t="inlineStr">
        <is>
          <t>State</t>
        </is>
      </c>
      <c r="B69" s="6" t="inlineStr">
        <is>
          <t>WY</t>
        </is>
      </c>
      <c r="C69" s="16" t="n">
        <v>1048</v>
      </c>
      <c r="D69" s="17" t="n">
        <v>0.0024</v>
      </c>
      <c r="E69" s="17" t="n">
        <v>0.0009</v>
      </c>
      <c r="F69" s="18">
        <f>IF(D69&gt;0,E69/D69,0)</f>
        <v/>
      </c>
      <c r="G69" s="11">
        <f>IF(F69&gt;Settings!$B$8,"Yes","No")</f>
        <v/>
      </c>
      <c r="H69" s="14">
        <f>IF(A69="Industry",IF(G69="Yes",Settings!$B$5,Settings!$B$4),IF(G69="Yes",Settings!$B$7,Settings!$B$6))</f>
        <v/>
      </c>
      <c r="I69" s="19">
        <f>H69-D69</f>
        <v/>
      </c>
      <c r="J69" s="20">
        <f>IF(H69&gt;0,D69/H69,0)</f>
        <v/>
      </c>
      <c r="K69" s="11">
        <f>IF(J69&gt;1,"Breach",IF(J69&gt;=Settings!$B$9,"Watch","Within"))</f>
        <v/>
      </c>
    </row>
    <row r="70">
      <c r="A70" s="6" t="inlineStr">
        <is>
          <t>State</t>
        </is>
      </c>
      <c r="B70" s="6" t="inlineStr">
        <is>
          <t>WV</t>
        </is>
      </c>
      <c r="C70" s="16" t="n">
        <v>1400</v>
      </c>
      <c r="D70" s="17" t="n">
        <v>0.0022</v>
      </c>
      <c r="E70" s="17" t="n">
        <v>0.0019</v>
      </c>
      <c r="F70" s="18">
        <f>IF(D70&gt;0,E70/D70,0)</f>
        <v/>
      </c>
      <c r="G70" s="11">
        <f>IF(F70&gt;Settings!$B$8,"Yes","No")</f>
        <v/>
      </c>
      <c r="H70" s="14">
        <f>IF(A70="Industry",IF(G70="Yes",Settings!$B$5,Settings!$B$4),IF(G70="Yes",Settings!$B$7,Settings!$B$6))</f>
        <v/>
      </c>
      <c r="I70" s="19">
        <f>H70-D70</f>
        <v/>
      </c>
      <c r="J70" s="20">
        <f>IF(H70&gt;0,D70/H70,0)</f>
        <v/>
      </c>
      <c r="K70" s="11">
        <f>IF(J70&gt;1,"Breach",IF(J70&gt;=Settings!$B$9,"Watch","Within"))</f>
        <v/>
      </c>
    </row>
    <row r="71">
      <c r="A71" s="6" t="inlineStr">
        <is>
          <t>State</t>
        </is>
      </c>
      <c r="B71" s="6" t="inlineStr">
        <is>
          <t>DE</t>
        </is>
      </c>
      <c r="C71" s="16" t="n">
        <v>1337</v>
      </c>
      <c r="D71" s="17" t="n">
        <v>0.0019</v>
      </c>
      <c r="E71" s="17" t="n">
        <v>0.0026</v>
      </c>
      <c r="F71" s="18">
        <f>IF(D71&gt;0,E71/D71,0)</f>
        <v/>
      </c>
      <c r="G71" s="11">
        <f>IF(F71&gt;Settings!$B$8,"Yes","No")</f>
        <v/>
      </c>
      <c r="H71" s="14">
        <f>IF(A71="Industry",IF(G71="Yes",Settings!$B$5,Settings!$B$4),IF(G71="Yes",Settings!$B$7,Settings!$B$6))</f>
        <v/>
      </c>
      <c r="I71" s="19">
        <f>H71-D71</f>
        <v/>
      </c>
      <c r="J71" s="20">
        <f>IF(H71&gt;0,D71/H71,0)</f>
        <v/>
      </c>
      <c r="K71" s="11">
        <f>IF(J71&gt;1,"Breach",IF(J71&gt;=Settings!$B$9,"Watch","Within"))</f>
        <v/>
      </c>
    </row>
    <row r="72">
      <c r="A72" s="6" t="inlineStr">
        <is>
          <t>State</t>
        </is>
      </c>
      <c r="B72" s="6" t="inlineStr">
        <is>
          <t>AK</t>
        </is>
      </c>
      <c r="C72" s="16" t="n">
        <v>697</v>
      </c>
      <c r="D72" s="17" t="n">
        <v>0.0018</v>
      </c>
      <c r="E72" s="17" t="n">
        <v>0.0009</v>
      </c>
      <c r="F72" s="18">
        <f>IF(D72&gt;0,E72/D72,0)</f>
        <v/>
      </c>
      <c r="G72" s="11">
        <f>IF(F72&gt;Settings!$B$8,"Yes","No")</f>
        <v/>
      </c>
      <c r="H72" s="14">
        <f>IF(A72="Industry",IF(G72="Yes",Settings!$B$5,Settings!$B$4),IF(G72="Yes",Settings!$B$7,Settings!$B$6))</f>
        <v/>
      </c>
      <c r="I72" s="19">
        <f>H72-D72</f>
        <v/>
      </c>
      <c r="J72" s="20">
        <f>IF(H72&gt;0,D72/H72,0)</f>
        <v/>
      </c>
      <c r="K72" s="11">
        <f>IF(J72&gt;1,"Breach",IF(J72&gt;=Settings!$B$9,"Watch","Within"))</f>
        <v/>
      </c>
    </row>
    <row r="73">
      <c r="A73" s="6" t="inlineStr">
        <is>
          <t>State</t>
        </is>
      </c>
      <c r="B73" s="6" t="inlineStr">
        <is>
          <t>DC</t>
        </is>
      </c>
      <c r="C73" s="16" t="n">
        <v>1129</v>
      </c>
      <c r="D73" s="17" t="n">
        <v>0.0016</v>
      </c>
      <c r="E73" s="17" t="n">
        <v>0.0016</v>
      </c>
      <c r="F73" s="18">
        <f>IF(D73&gt;0,E73/D73,0)</f>
        <v/>
      </c>
      <c r="G73" s="11">
        <f>IF(F73&gt;Settings!$B$8,"Yes","No")</f>
        <v/>
      </c>
      <c r="H73" s="14">
        <f>IF(A73="Industry",IF(G73="Yes",Settings!$B$5,Settings!$B$4),IF(G73="Yes",Settings!$B$7,Settings!$B$6))</f>
        <v/>
      </c>
      <c r="I73" s="19">
        <f>H73-D73</f>
        <v/>
      </c>
      <c r="J73" s="20">
        <f>IF(H73&gt;0,D73/H73,0)</f>
        <v/>
      </c>
      <c r="K73" s="11">
        <f>IF(J73&gt;1,"Breach",IF(J73&gt;=Settings!$B$9,"Watch","Within"))</f>
        <v/>
      </c>
    </row>
    <row r="75">
      <c r="A75" s="10" t="inlineStr">
        <is>
          <t>Source: outputs/limit_monitor.csv (Step 4), loans approved 2001-2010. Blue = inputs from the analysis. Limit, headroom, limit used and status are formulas.</t>
        </is>
      </c>
    </row>
  </sheetData>
  <autoFilter ref="A1:K73"/>
  <conditionalFormatting sqref="K2:K73">
    <cfRule type="expression" priority="1" dxfId="0">
      <formula>$K2="Breach"</formula>
    </cfRule>
    <cfRule type="expression" priority="2" dxfId="1">
      <formula>$K2="Watch"</formula>
    </cfRule>
    <cfRule type="expression" priority="3" dxfId="2">
      <formula>$K2="Within"</formula>
    </cfRule>
  </conditionalFormatting>
  <conditionalFormatting sqref="I2:I73">
    <cfRule type="expression" priority="4" dxfId="3">
      <formula>$I2&lt;0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2026-10-17T01:40:37Z</dcterms:created>
  <dcterms:modified xsi:type="dcterms:W3CDTF">2026-10-17T01:40:37Z</dcterms:modified>
</cp:coreProperties>
</file>